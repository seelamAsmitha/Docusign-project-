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y pc\Downloads\"/>
    </mc:Choice>
  </mc:AlternateContent>
  <bookViews>
    <workbookView xWindow="0" yWindow="0" windowWidth="23040" windowHeight="9072" tabRatio="500"/>
  </bookViews>
  <sheets>
    <sheet name="Bug Tracker" sheetId="1" r:id="rId1"/>
    <sheet name="Summary" sheetId="2" r:id="rId2"/>
    <sheet name="Verify in browser" sheetId="3" r:id="rId3"/>
  </sheets>
  <definedNames>
    <definedName name="_xlnm._FilterDatabase" localSheetId="0" hidden="1">'Bug Tracker'!$A$1:$N$44</definedName>
  </definedName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B16" i="2" l="1"/>
  <c r="B15" i="2"/>
  <c r="B14" i="2"/>
  <c r="B13" i="2"/>
  <c r="B12" i="2"/>
  <c r="B7" i="2"/>
  <c r="B6" i="2"/>
  <c r="B5" i="2"/>
  <c r="B4" i="2"/>
  <c r="B3" i="2"/>
  <c r="B8" i="2" l="1"/>
</calcChain>
</file>

<file path=xl/sharedStrings.xml><?xml version="1.0" encoding="utf-8"?>
<sst xmlns="http://schemas.openxmlformats.org/spreadsheetml/2006/main" count="849" uniqueCount="477">
  <si>
    <t>Bug ID</t>
  </si>
  <si>
    <t>Title</t>
  </si>
  <si>
    <t>Category</t>
  </si>
  <si>
    <t>Severity</t>
  </si>
  <si>
    <t>Module / Screen</t>
  </si>
  <si>
    <t>Steps to Reproduce</t>
  </si>
  <si>
    <t>Expected Behavior</t>
  </si>
  <si>
    <t>Actual Behavior</t>
  </si>
  <si>
    <t>Evidence (screenshot / video link)</t>
  </si>
  <si>
    <t>Browser + OS</t>
  </si>
  <si>
    <t>Viewport</t>
  </si>
  <si>
    <t>Reproducibility</t>
  </si>
  <si>
    <t>Date Found</t>
  </si>
  <si>
    <t>Notes / Hypothesis</t>
  </si>
  <si>
    <t>BUG-001</t>
  </si>
  <si>
    <t>Home: two-column row overflows its 95px-margin container at 1280px and no longer aligns with the card row below it</t>
  </si>
  <si>
    <t>UI / Pixel</t>
  </si>
  <si>
    <t>P2</t>
  </si>
  <si>
    <t>Home (/send/home) - main content</t>
  </si>
  <si>
    <t>1. Open http://13.207.185.159/ in Chrome (latest), 1280x960, 100% zoom. 2. Sign in at the browser prompt (scalerailabs / QA@ScalerAILabs). 3. Go to /send/home. 4. Open DevTools, confirm viewport 1280x960. 5. Inspect the row holding 'Tasks' + 'Overview' (flex-basis 904px + 332px, gap 32px) and compare its left edge with the 'Ready to upgrade?' card row below.</t>
  </si>
  <si>
    <t>Content stays inside the 95px side margins; the Tasks/Overview row and the bottom card row share the same left and right edges (as on original Docusign at the same viewport).</t>
  </si>
  <si>
    <t>Both columns are flex-shrink:0 (904+32+332 = 1268px) but the parent's inner width is only ~1090px (~1075px with a scrollbar). The row overflows on both sides, so the Tasks card starts near x=6px instead of x=95px, while the bottom 1fr/1fr grid stays at x=95px. A 1-2px horizontal scrollbar may also appear.</t>
  </si>
  <si>
    <t>1280x960</t>
  </si>
  <si>
    <t xml:space="preserve"> 5/5 Attempts</t>
  </si>
  <si>
    <t>[Confirmed in code] Numbers computed from inline styles, not yet measured. Measure getBoundingClientRect() of the Tasks card in DevTools and put the real px values here. Likely fix: allow columns to shrink or add a breakpoint. Layout may have been built for a wider viewport.</t>
  </si>
  <si>
    <t>BUG-002</t>
  </si>
  <si>
    <t>Home: greeting reads 'Welcome back, ' with no user name</t>
  </si>
  <si>
    <t>Hard-coded data</t>
  </si>
  <si>
    <t>Home - hero banner</t>
  </si>
  <si>
    <t>1. Open http://13.207.185.159/ in Chrome (latest), 1280x960, 100% zoom. 2. Sign in at the browser prompt (scalerailabs / QA@ScalerAILabs). 3. Go to /send/home. 4. Read the heading in the purple hero banner.</t>
  </si>
  <si>
    <t>'Welcome back, &lt;first name of signed-in user&gt;' as on original Docusign.</t>
  </si>
  <si>
    <t>Heading contains only the text 'Welcome back, ' followed by nothing (trailing comma and space, no name).</t>
  </si>
  <si>
    <t>[Confirmed in code] Static HTML contains no name node. If the name appears after load in your browser, downgrade or delete this row.</t>
  </si>
  <si>
    <t>BUG-003</t>
  </si>
  <si>
    <t>Header: user avatar circle renders empty (no initials)</t>
  </si>
  <si>
    <t>Global header</t>
  </si>
  <si>
    <t>1. Open http://13.207.185.159/ in Chrome (latest), 1280x960, 100% zoom. 2. Sign in at the browser prompt (scalerailabs / QA@ScalerAILabs). 3. Go to /send/home. 4. Look at the round avatar at the far right of the header.</t>
  </si>
  <si>
    <t>Circle shows the user's initials (uppercase, 16px/500) as in original Docusign.</t>
  </si>
  <si>
    <t>40x40 circle (#caf4fc, text #035a6c) contains no text at all.</t>
  </si>
  <si>
    <t>[Confirmed in code] Related to BUG-002 (missing user data). Also check what the avatar click opens.</t>
  </si>
  <si>
    <t>BUG-004</t>
  </si>
  <si>
    <t>Home: 'Start an agreement' button in Agreement activity empty state is disabled</t>
  </si>
  <si>
    <t>Functional</t>
  </si>
  <si>
    <t>Home - Agreement activity card</t>
  </si>
  <si>
    <t>1. Open http://13.207.185.159/ in Chrome (latest), 1280x960, 100% zoom. 2. Sign in at the browser prompt (scalerailabs / QA@ScalerAILabs). 3. Go to /send/home. 4. In the 'Agreement activity' card click 'Start an agreement'.</t>
  </si>
  <si>
    <t>Button starts the send flow (same as Start &gt; Send an Envelope on original).</t>
  </si>
  <si>
    <t>Button carries class 'ds-disabled-btn' and nothing happens on click.</t>
  </si>
  <si>
    <t>[Confirmed in code] Primary CTA of the empty state is dead. Confirm the click behaviour in the browser.</t>
  </si>
  <si>
    <t>BUG-005</t>
  </si>
  <si>
    <t>Home: Overview counters (Waiting for others / Expiring soon / Completed) are static 0</t>
  </si>
  <si>
    <t>Home - Overview card</t>
  </si>
  <si>
    <t>1. Open http://13.207.185.159/ in Chrome (latest), 1280x960, 100% zoom. 2. Sign in at the browser prompt (scalerailabs / QA@ScalerAILabs). 3. Go to /send/home. 4. Note the three counters. 5. Create and send an envelope (Start &gt; Send an Envelope) and return to /send/home. 6. Re-read the counters and the Agreement activity card.</t>
  </si>
  <si>
    <t>Counters reflect real envelope data (Waiting for others increments after a send); Agreement activity lists the envelope.</t>
  </si>
  <si>
    <t>Counters are rendered as literal '0' and the card still says 'No agreement activity yet'.</t>
  </si>
  <si>
    <t>[Verify in browser] Static HTML shows 0 everywhere; whether they update depends on the clone's data layer. Only keep this row if they stay 0 after a real send.</t>
  </si>
  <si>
    <t>BUG-006</t>
  </si>
  <si>
    <t>Home: Tasks card always shows 'You don't have any tasks yet'</t>
  </si>
  <si>
    <t>P3</t>
  </si>
  <si>
    <t>Home - Tasks card</t>
  </si>
  <si>
    <t>1. Open http://13.207.185.159/ in Chrome (latest), 1280x960, 100% zoom. 2. Sign in at the browser prompt (scalerailabs / QA@ScalerAILabs). 3. Go to /send/home. 4. Read the Tasks card. 5. Send an envelope that needs the current user's action, return to Home.</t>
  </si>
  <si>
    <t>Tasks card lists pending tasks when they exist.</t>
  </si>
  <si>
    <t>Empty-state copy is the only content in the markup.</t>
  </si>
  <si>
    <t>[Verify in browser] Same root cause as BUG-005. Cross-reference.</t>
  </si>
  <si>
    <t>BUG-007</t>
  </si>
  <si>
    <t>Header: Help icon red notification dot is always at full opacity while the Help button is dimmed and disabled</t>
  </si>
  <si>
    <t>Global header - Help icon</t>
  </si>
  <si>
    <t>1. Open http://13.207.185.159/ in Chrome (latest), 1280x960, 100% zoom. 2. Sign in at the browser prompt (scalerailabs / QA@ScalerAILabs). 3. Go to /send/home. 4. Zoom into the Help (?) icon at the top right.</t>
  </si>
  <si>
    <t>Badge appears only when there is something unread and looks consistent with an active button.</t>
  </si>
  <si>
    <t>8x8 red dot (#E12120) is a sibling of the button, so it stays at full opacity while the button is at opacity 0.4 / cursor:not-allowed. Dot can never be cleared.</t>
  </si>
  <si>
    <t>[Confirmed in code] Hard-coded indicator. Cross-reference BUG-008.</t>
  </si>
  <si>
    <t>BUG-008</t>
  </si>
  <si>
    <t>Header: Tasks and Help icon buttons are dimmed and not clickable</t>
  </si>
  <si>
    <t>1. Open http://13.207.185.159/ in Chrome (latest), 1280x960, 100% zoom. 2. Sign in at the browser prompt (scalerailabs / QA@ScalerAILabs). 3. Go to /send/home. 4. Hover and click the Tasks (checklist) icon and the Help (?) icon in the header.</t>
  </si>
  <si>
    <t>Both open their panels/menus as in original Docusign.</t>
  </si>
  <si>
    <t>Both buttons have opacity 0.4, cursor:not-allowed and do nothing.</t>
  </si>
  <si>
    <t>[Confirmed in code] May be intentional scope decision by the clone builder; still report the visual state. Cross-reference BUG-009.</t>
  </si>
  <si>
    <t>BUG-009</t>
  </si>
  <si>
    <t>Header: 'Reports' and 'Admin' nav items are non-clickable text at 50% opacity</t>
  </si>
  <si>
    <t>Global header - main nav</t>
  </si>
  <si>
    <t>1. Open http://13.207.185.159/ in Chrome (latest), 1280x960, 100% zoom. 2. Sign in at the browser prompt (scalerailabs / QA@ScalerAILabs). 3. Go to /send/home. 4. Hover and click 'Reports' and 'Admin' in the top nav.</t>
  </si>
  <si>
    <t>Items are links (as on original) with normal colour and pointer cursor.</t>
  </si>
  <si>
    <t>Rendered as &lt;span&gt; elements, opacity 0.5, cursor:not-allowed, no href.</t>
  </si>
  <si>
    <t>[Confirmed in code] Cross-reference BUG-008. Nav item text colour is rgba(19,0,50,0.7) plus 0.5 opacity, so contrast is very low.</t>
  </si>
  <si>
    <t>BUG-010</t>
  </si>
  <si>
    <t>Home: 'Send with AI' hero button is disabled</t>
  </si>
  <si>
    <t>1. Open http://13.207.185.159/ in Chrome (latest), 1280x960, 100% zoom. 2. Sign in at the browser prompt (scalerailabs / QA@ScalerAILabs). 3. Go to /send/home. 4. Click 'Send with AI' in the hero banner.</t>
  </si>
  <si>
    <t>Opens the Send with AI flow (as on original).</t>
  </si>
  <si>
    <t>Button has class 'ds-disabled-btn'; click does nothing.</t>
  </si>
  <si>
    <t>[Confirmed in code] Check whether the button also looks visually different from 'Get Signatures' (same outline style, only class differs) - if it looks enabled, that is a UI bug too.</t>
  </si>
  <si>
    <t>BUG-011</t>
  </si>
  <si>
    <t>Home: 'View Plans' and 'View Our Guide' links are inert (href='#')</t>
  </si>
  <si>
    <t>P4</t>
  </si>
  <si>
    <t>Home - upgrade / help cards</t>
  </si>
  <si>
    <t>1. Open http://13.207.185.159/ in Chrome (latest), 1280x960, 100% zoom. 2. Sign in at the browser prompt (scalerailabs / QA@ScalerAILabs). 3. Go to /send/home. 4. Click 'View Plans', then 'View Our Guide'.</t>
  </si>
  <si>
    <t>Each opens its destination page (plans / guide) as on original.</t>
  </si>
  <si>
    <t>Both are &lt;a href='#'&gt; with class 'ds-disabled-btn'; nothing happens (URL may gain '#').</t>
  </si>
  <si>
    <t>[Confirmed in code] Third-party/external destinations may be out of scope; report only the inert-link behaviour. Cross-reference BUG-012.</t>
  </si>
  <si>
    <t>BUG-012</t>
  </si>
  <si>
    <t>Home/Global: footer links, language selector, support links and research-panel link are all inert</t>
  </si>
  <si>
    <t>Home - 'More info' band and footer (all pages)</t>
  </si>
  <si>
    <t>1. Open http://13.207.185.159/ in Chrome (latest), 1280x960, 100% zoom. 2. Sign in at the browser prompt (scalerailabs / QA@ScalerAILabs). 3. Go to /send/home. 4. Scroll to the bottom. 5. Click Contact Us, Terms of Use, Privacy, Intellectual Property, Trust, the English (US) selector, Support Home, Community, Trust Center and 'Join our Product Experience Research Panel'.</t>
  </si>
  <si>
    <t>Links navigate; language selector opens a list.</t>
  </si>
  <si>
    <t>All are href='#' with class 'ds-disabled-btn' and do nothing.</t>
  </si>
  <si>
    <t>[Confirmed in code] Same footer appears on /send/templates. Ten-plus controls with one root cause, kept as one row.</t>
  </si>
  <si>
    <t>BUG-013</t>
  </si>
  <si>
    <t>Footer: no '|' separator between 'Intellectual Property' and 'Trust'; first separator lacks the 8px left margin</t>
  </si>
  <si>
    <t>Global footer</t>
  </si>
  <si>
    <t>1. Open http://13.207.185.159/ in Chrome (latest), 1280x960, 100% zoom. 2. Sign in at the browser prompt (scalerailabs / QA@ScalerAILabs). 3. Go to /send/home. 4. Scroll to the footer and zoom to 300%. Read the link row.</t>
  </si>
  <si>
    <t>Every link is separated by '|': Contact Us | Terms of Use | Privacy | Intellectual Property | Trust.</t>
  </si>
  <si>
    <t>The 'Trust' list item has no '|' text node, and the first '|' item has no margin-left:8px (others have it).</t>
  </si>
  <si>
    <t>[Confirmed in code] Confirm the original renders the separator before Trust.</t>
  </si>
  <si>
    <t>BUG-014</t>
  </si>
  <si>
    <t>Home: Overview rows use &lt;li&gt; directly inside &lt;div&gt; (no &lt;ul&gt;) and the whole row shows a pointer cursor but only the label is a control</t>
  </si>
  <si>
    <t>1. Open http://13.207.185.159/ in Chrome (latest), 1280x960, 100% zoom. 2. Sign in at the browser prompt (scalerailabs / QA@ScalerAILabs). 3. Go to /send/home. 4. Hover the count (e.g. '0') beside 'Waiting for others'. 5. Click the count, then the label.</t>
  </si>
  <si>
    <t>Entire row (label + count) is one interactive target, with valid list markup.</t>
  </si>
  <si>
    <t>Row div has cursor:pointer, but only the inner &lt;button&gt; is clickable; the &lt;li&gt; elements have no &lt;ul&gt; parent.</t>
  </si>
  <si>
    <t>[Confirmed in code] Markup issue confirmed; click behaviour must be tested in the browser.</t>
  </si>
  <si>
    <t>BUG-015</t>
  </si>
  <si>
    <t>Document title is 'Rl_Docusign' instead of 'Docusign'</t>
  </si>
  <si>
    <t>Global - browser tab (all pages)</t>
  </si>
  <si>
    <t>1. Open http://13.207.185.159/ in Chrome (latest), 1280x960, 100% zoom. 2. Sign in at the browser prompt (scalerailabs / QA@ScalerAILabs). 3. Go to /send/home. 4. Read the browser tab title.</t>
  </si>
  <si>
    <t>Tab title reads 'Docusign' (original shell sets &lt;title&gt; to 'Docusign').</t>
  </si>
  <si>
    <t>Tab title reads 'Rl_Docusign' on both Home and Templates.</t>
  </si>
  <si>
    <t>[Confirmed in code] Original page-source title is 'Docusign'; original may append a page name after load - check the live tab.</t>
  </si>
  <si>
    <t>BUG-016</t>
  </si>
  <si>
    <t>Meta description exposes internal text: 'Dashboard template for RL environment state management.'</t>
  </si>
  <si>
    <t>Global - &lt;head&gt; metadata</t>
  </si>
  <si>
    <t>1. Open http://13.207.185.159/ in Chrome (latest), 1280x960, 100% zoom. 2. Sign in at the browser prompt (scalerailabs / QA@ScalerAILabs). 3. Go to /send/home. 4. Right-click &gt; View page source and search for name="description".</t>
  </si>
  <si>
    <t>Description is 'Docusign' (as in original page source).</t>
  </si>
  <si>
    <t>Description is 'Dashboard template for RL environment state management.'</t>
  </si>
  <si>
    <t>[Confirmed in code] Placeholder/scaffold text leaked into a client-facing clone.</t>
  </si>
  <si>
    <t>BUG-017</t>
  </si>
  <si>
    <t>Favicon link is missing</t>
  </si>
  <si>
    <t>Global - browser tab</t>
  </si>
  <si>
    <t>1. Open http://13.207.185.159/ in Chrome (latest), 1280x960, 100% zoom. 2. Sign in at the browser prompt (scalerailabs / QA@ScalerAILabs). 3. Go to /send/home. 4. Look at the tab icon. 5. View source and search for rel="icon".</t>
  </si>
  <si>
    <t>Docusign favicon shown (original links /favicon.ico?v=2 and an apple-touch-icon).</t>
  </si>
  <si>
    <t>No &lt;link rel='icon'&gt; or apple-touch-icon in the clone's &lt;head&gt;.</t>
  </si>
  <si>
    <t>[Confirmed in code] The browser may still fall back to /favicon.ico; check the tab and Network tab for a 404.</t>
  </si>
  <si>
    <t>BUG-018</t>
  </si>
  <si>
    <t>Page lacks translate='no' / class='notranslate' / dir='ltr' that the original sets on &lt;html&gt;</t>
  </si>
  <si>
    <t>Global - &lt;html&gt; element</t>
  </si>
  <si>
    <t>1. Open http://13.207.185.159/ in Chrome (latest), 1280x960, 100% zoom. 2. Sign in at the browser prompt (scalerailabs / QA@ScalerAILabs). 3. Go to /send/home. 4. View source and compare the &lt;html&gt; tag with the original's (lang, dir='ltr', translate='no', class='notranslate').</t>
  </si>
  <si>
    <t>&lt;html&gt; has translate='no' class='notranslate' so Chrome does not offer to translate the UI.</t>
  </si>
  <si>
    <t>Clone &lt;html&gt; has only lang='en'.</t>
  </si>
  <si>
    <t>[Confirmed in code] Low impact; Chrome may show a 'Translate this page' prompt for non-English browser locales.</t>
  </si>
  <si>
    <t>BUG-019</t>
  </si>
  <si>
    <t>Templates: empty state is a bare 'No templates found' table row; the illustrated empty state from the original is missing</t>
  </si>
  <si>
    <t>Templates (/send/templates) - empty state</t>
  </si>
  <si>
    <t>1. Open http://13.207.185.159/ in Chrome (latest), 1280x960, 100% zoom. 2. Sign in at the browser prompt (scalerailabs / QA@ScalerAILabs). 3. Click 'Templates' in the top nav (/send/templates). 4. With no templates present, look at the area under the table header.</t>
  </si>
  <si>
    <t>Original shows the illustrated empty state (paper + paper-airplane artwork, 200x266 SVG supplied as the reference file) with its heading/copy.</t>
  </si>
  <si>
    <t>Clone shows a single table cell (colspan 8, 14px, rgba(19,0,50,0.5), 64px padding) reading 'No templates found', with no illustration; table header row remains visible.</t>
  </si>
  <si>
    <t>[Confirmed in code] Reference file 'docsigndoc2orginal.txt' is the original's empty-state SVG; the clone has none. Compare the original's heading, copy and CTA text in the browser and add them here.</t>
  </si>
  <si>
    <t>BUG-020</t>
  </si>
  <si>
    <t>Templates: 'Select all rows' checkbox is enabled when the table has zero rows</t>
  </si>
  <si>
    <t>Edge case</t>
  </si>
  <si>
    <t>Templates - table header</t>
  </si>
  <si>
    <t>1. Open http://13.207.185.159/ in Chrome (latest), 1280x960, 100% zoom. 2. Sign in at the browser prompt (scalerailabs / QA@ScalerAILabs). 3. Click 'Templates' in the top nav (/send/templates). 4. Click the checkbox in the first column header.</t>
  </si>
  <si>
    <t>Checkbox is disabled or hidden when there is nothing to select.</t>
  </si>
  <si>
    <t>Checkbox is enabled (16px, accent #260559) with no rows.</t>
  </si>
  <si>
    <t>BUG-020_templates_select-all-empty.png</t>
  </si>
  <si>
    <t>[Verify in browser] Check whether the original disables it in the empty state. Also see if a bulk-action bar appears.</t>
  </si>
  <si>
    <t>BUG-021</t>
  </si>
  <si>
    <t>Templates: 'Create Template' button has uneven padding (8px start / 12px end) and no leading icon</t>
  </si>
  <si>
    <t>Templates - side nav</t>
  </si>
  <si>
    <t>1. Open http://13.207.185.159/ in Chrome (latest), 1280x960, 100% zoom. 2. Sign in at the browser prompt (scalerailabs / QA@ScalerAILabs). 3. Click 'Templates' in the top nav (/send/templates). 4. Inspect the 'Create Template' button. 5. Measure text offset within the 248px-wide button.</t>
  </si>
  <si>
    <t>Label centred with the same spacing as original; original button likely has a leading icon that explains the 8px start padding.</t>
  </si>
  <si>
    <t>padding-inline is '8px 12px' with only a text span, so the label sits ~2px left of centre.</t>
  </si>
  <si>
    <t>[Confirmed in code] Measure original padding and check whether it has a '+' icon; record the px values here.</t>
  </si>
  <si>
    <t>BUG-022</t>
  </si>
  <si>
    <t>Templates: default page size is 5 and options are 5/10/25/50</t>
  </si>
  <si>
    <t>Templates - pagination</t>
  </si>
  <si>
    <t>1. Open http://13.207.185.159/ in Chrome (latest), 1280x960, 100% zoom. 2. Sign in at the browser prompt (scalerailabs / QA@ScalerAILabs). 3. Click 'Templates' in the top nav (/send/templates). 4. Open the page-size dropdown at the bottom left.</t>
  </si>
  <si>
    <t>Default page size and options match the original.</t>
  </si>
  <si>
    <t>Default '5 / Page'; options 5, 10, 25, 50.</t>
  </si>
  <si>
    <t>[Verify in browser] I cannot confirm the original defaults from the files provided. Delete this row if they match.</t>
  </si>
  <si>
    <t>BUG-023</t>
  </si>
  <si>
    <t>Templates: page-size control is a native &lt;select&gt; with browser-default styling</t>
  </si>
  <si>
    <t>1. Open http://13.207.185.159/ in Chrome (latest), 1280x960, 100% zoom. 2. Sign in at the browser prompt (scalerailabs / QA@ScalerAILabs). 3. Click 'Templates' in the top nav (/send/templates). 4. Click the '5 / Page' control.</t>
  </si>
  <si>
    <t>Docusign design-system dropdown (custom chevron, list styled with DS tokens).</t>
  </si>
  <si>
    <t>Native &lt;select&gt; (appearance:auto) - OS-styled arrow and options list.</t>
  </si>
  <si>
    <t>[Confirmed in code] Compare arrow icon and open-list look with the original.</t>
  </si>
  <si>
    <t>BUG-024</t>
  </si>
  <si>
    <t>Templates: 'Clear' filter button is visible when no filters are applied</t>
  </si>
  <si>
    <t>Templates - search / filter bar</t>
  </si>
  <si>
    <t>1. Open http://13.207.185.159/ in Chrome (latest), 1280x960, 100% zoom. 2. Sign in at the browser prompt (scalerailabs / QA@ScalerAILabs). 3. Click 'Templates' in the top nav (/send/templates). 4. Look to the right of the 'Date' and 'Advanced search' filters.</t>
  </si>
  <si>
    <t>'Clear' appears only after a search term or filter is applied.</t>
  </si>
  <si>
    <t>'Clear' is rendered at rest.</t>
  </si>
  <si>
    <t>[Verify in browser] Confirm original behaviour; also test that Clear resets search and filters.</t>
  </si>
  <si>
    <t>BUG-025</t>
  </si>
  <si>
    <t>Templates: 'Workflow Templates' and 'Template Gallery' promoted with NEW badges but cannot be opened</t>
  </si>
  <si>
    <t>1. Open http://13.207.185.159/ in Chrome (latest), 1280x960, 100% zoom. 2. Sign in at the browser prompt (scalerailabs / QA@ScalerAILabs). 3. Click 'Templates' in the top nav (/send/templates). 4. Hover and click 'Workflow Templates' and 'Template Gallery'.</t>
  </si>
  <si>
    <t>Both open their pages as in original Docusign.</t>
  </si>
  <si>
    <t>Both rows are at opacity 0.4 with pointer-events:none and cursor:not-allowed, yet carry 'NEW' badges.</t>
  </si>
  <si>
    <t>[Confirmed in code] Cross-reference BUG-008/009 (same disabled-feature pattern).</t>
  </si>
  <si>
    <t>BUG-026</t>
  </si>
  <si>
    <t>Global: &lt;meta name='keywords'&gt; missing (original: 'docusign, sign, e-signature')</t>
  </si>
  <si>
    <t>1. Open http://13.207.185.159/ in Chrome (latest), 1280x960, 100% zoom. 2. Sign in at the browser prompt (scalerailabs / QA@ScalerAILabs). 3. Go to /send/home. 4. View page source and search for name="keywords".</t>
  </si>
  <si>
    <t>Keywords meta present with 'docusign, sign, e-signature' as in the original page source.</t>
  </si>
  <si>
    <t>No keywords meta tag in the clone.</t>
  </si>
  <si>
    <t>[Confirmed in code] Cross-reference BUG-016 (metadata differences).</t>
  </si>
  <si>
    <t>BUG-027</t>
  </si>
  <si>
    <t>Global: &lt;meta name='robots' content='noindex, nofollow'&gt; missing</t>
  </si>
  <si>
    <t>1. Open http://13.207.185.159/ in Chrome (latest), 1280x960, 100% zoom. 2. Sign in at the browser prompt (scalerailabs / QA@ScalerAILabs). 3. Go to /send/home. 4. View page source and search for name="robots".</t>
  </si>
  <si>
    <t>Robots meta 'noindex, nofollow' present, as in the original.</t>
  </si>
  <si>
    <t>No robots meta tag in the clone.</t>
  </si>
  <si>
    <t>[Confirmed in code] Cross-reference BUG-016. Only a header-level difference; do not test crawling (out of scope).</t>
  </si>
  <si>
    <t>BUG-028</t>
  </si>
  <si>
    <t>Global: Open Graph tags (og:title, og:description) missing</t>
  </si>
  <si>
    <t>1. Open http://13.207.185.159/ in Chrome (latest), 1280x960, 100% zoom. 2. Sign in at the browser prompt (scalerailabs / QA@ScalerAILabs). 3. Go to /send/home. 4. View page source and search for property="og:title" and "og:description".</t>
  </si>
  <si>
    <t>og:title 'Docusign | #1 in Electronic Signature and Intelligent Agreement Management' and og:description present, as in the original.</t>
  </si>
  <si>
    <t>Neither Open Graph tag exists in the clone.</t>
  </si>
  <si>
    <t>[Confirmed in code] Cross-reference BUG-016.</t>
  </si>
  <si>
    <t>BUG-029</t>
  </si>
  <si>
    <t>Responsive: layout has no breakpoints; fixed 904px + 332px columns and 95px side margins are inline styles with no media queries</t>
  </si>
  <si>
    <t>Home - main content / More Info band</t>
  </si>
  <si>
    <t>1. Open http://13.207.185.159/ in Chrome (latest), 1280x960, 100% zoom. 2. Sign in at the browser prompt (scalerailabs / QA@ScalerAILabs). 3. Go to /send/home. 4. DevTools device toolbar &gt; Responsive. 5. Set width to 1024, then 768. 6. Scroll the Home page.</t>
  </si>
  <si>
    <t>Layout adapts (columns stack or shrink) as on original Docusign; no horizontal clipping.</t>
  </si>
  <si>
    <t>The page's inline styles contain no @media rules and use flex-basis 904px/332px and fixed 95px margins, so content is clipped or forces horizontal scroll below ~1280px.</t>
  </si>
  <si>
    <t>[Confirmed in code] No media queries in the HTML; the external stylesheet (591353dd2a92da87.css) was not provided, so [Verify in browser] at 1024/768 and record where it first breaks.</t>
  </si>
  <si>
    <t>BUG-030</t>
  </si>
  <si>
    <t>Home: on wide viewports (&gt;= ~1470px) content is left-aligned instead of centred</t>
  </si>
  <si>
    <t>Home - main content and More Info band</t>
  </si>
  <si>
    <t>1. Open http://13.207.185.159/ in Chrome (latest), 1280x960, 100% zoom. 2. Sign in at the browser prompt (scalerailabs / QA@ScalerAILabs). 3. Go to /send/home. 4. Set the browser/viewport width to 1920px. 5. Look at the space to the left and right of the content.</t>
  </si>
  <si>
    <t>Content is centred with equal side space, as on original at the same width.</t>
  </si>
  <si>
    <t>Containers use max-width:1280px with fixed margin-left/right:95px (not auto), so at 1920px the content hugs the left and leaves about 545px empty on the right.</t>
  </si>
  <si>
    <t>[Confirmed in code] Numbers computed from the CSS; confirm visually at 1920x1080 and compare with the original.</t>
  </si>
  <si>
    <t>BUG-031</t>
  </si>
  <si>
    <t>Home: page scrolls inside an inner container while the footer stays pinned below it</t>
  </si>
  <si>
    <t>Global layout (all pages)</t>
  </si>
  <si>
    <t>1. Open http://13.207.185.159/ in Chrome (latest), 1280x960, 100% zoom. 2. Sign in at the browser prompt (scalerailabs / QA@ScalerAILabs). 3. Go to /send/home. 4. Resize the window short (e.g. 1280x500). 5. Scroll the page and watch the footer.</t>
  </si>
  <si>
    <t>Footer follows the content at the bottom of the page (compare with original) or behaves identically to it.</t>
  </si>
  <si>
    <t>Root is 'h-screen flex-col overflow-hidden' with the content in an 'overflow-y-auto' child, so the footer is always visible and takes viewport height; window scrollbar never appears.</t>
  </si>
  <si>
    <t>[Verify in browser] Structure confirmed in code; check whether the original footer scrolls with the page. Also test Ctrl+F, keyboard Space/PageDown and scroll restoration on Back.</t>
  </si>
  <si>
    <t>BUG-032</t>
  </si>
  <si>
    <t>Header: avatar button has no accessible name and no tooltip</t>
  </si>
  <si>
    <t>Accessibility / Markup</t>
  </si>
  <si>
    <t>Global header - avatar</t>
  </si>
  <si>
    <t>1. Open http://13.207.185.159/ in Chrome (latest), 1280x960, 100% zoom. 2. Sign in at the browser prompt (scalerailabs / QA@ScalerAILabs). 3. Go to /send/home. 4. Inspect the avatar &lt;button&gt; in DevTools &gt; Accessibility. 5. Tab to it with a screen reader or view its accessible name.</t>
  </si>
  <si>
    <t>Button has an accessible name (e.g. the user's name / 'Profile'), as on original.</t>
  </si>
  <si>
    <t>&lt;button&gt; contains only an empty &lt;span&gt;; no aria-label, title or text.</t>
  </si>
  <si>
    <t>[Confirmed in code] Cross-reference BUG-003 (empty avatar).</t>
  </si>
  <si>
    <t>BUG-033</t>
  </si>
  <si>
    <t>Header: Tasks and Help buttons are named only by 'title' attribute, no aria-label</t>
  </si>
  <si>
    <t>1. Open http://13.207.185.159/ in Chrome (latest), 1280x960, 100% zoom. 2. Sign in at the browser prompt (scalerailabs / QA@ScalerAILabs). 3. Go to /send/home. 4. Inspect the Tasks and Help buttons in DevTools &gt; Accessibility.</t>
  </si>
  <si>
    <t>Each icon button has an aria-label so its name is announced.</t>
  </si>
  <si>
    <t>Only title='Tasks' / title='Help' is set; the SVG has no label.</t>
  </si>
  <si>
    <t>[Confirmed in code] Title alone is unreliable across screen readers.</t>
  </si>
  <si>
    <t>BUG-034</t>
  </si>
  <si>
    <t>Header: active nav item is not marked aria-current='page'</t>
  </si>
  <si>
    <t>1. Open http://13.207.185.159/ in Chrome (latest), 1280x960, 100% zoom. 2. Sign in at the browser prompt (scalerailabs / QA@ScalerAILabs). 3. Go to /send/home. 4. Inspect the 'Home' link. 5. Go to Templates and inspect that link.</t>
  </si>
  <si>
    <t>Active link has aria-current='page' (visual underline is matched by state).</t>
  </si>
  <si>
    <t>Active link differs only by class and a 3px underline span; no aria-current on Home or Templates.</t>
  </si>
  <si>
    <t>[Confirmed in code] Only the underline conveys the current page.</t>
  </si>
  <si>
    <t>BUG-035</t>
  </si>
  <si>
    <t>Global: no &lt;main&gt; landmark and no skip-to-content link</t>
  </si>
  <si>
    <t>1. Open http://13.207.185.159/ in Chrome (latest), 1280x960, 100% zoom. 2. Sign in at the browser prompt (scalerailabs / QA@ScalerAILabs). 3. Go to /send/home. 4. Inspect the DOM for &lt;main&gt; and a skip link. 5. Press Tab once from page load.</t>
  </si>
  <si>
    <t>Page has a &lt;main&gt; landmark and the first Tab stop is a 'Skip to main content' link.</t>
  </si>
  <si>
    <t>Neither exists; the first Tab stop is the logo link.</t>
  </si>
  <si>
    <t>[Confirmed in code] Confirm the original behaviour before submitting.</t>
  </si>
  <si>
    <t>BUG-036</t>
  </si>
  <si>
    <t>Home: page has no &lt;h1&gt;; welcome text is an &lt;h3&gt; and card titles are &lt;h4&gt; (Templates page uses &lt;h1&gt;)</t>
  </si>
  <si>
    <t>Home - heading structure</t>
  </si>
  <si>
    <t>1. Open http://13.207.185.159/ in Chrome (latest), 1280x960, 100% zoom. 2. Sign in at the browser prompt (scalerailabs / QA@ScalerAILabs). 3. Go to /send/home. 4. DevTools &gt; Elements and search for &lt;h1&gt;, &lt;h2&gt;. 5. Compare with /send/templates.</t>
  </si>
  <si>
    <t>Home has a top-level heading and a consistent hierarchy (h1 &gt; h2 &gt; h3), matching the Templates page.</t>
  </si>
  <si>
    <t>Home: 0 x h1, 0 x h2, 1 x h3 ('Welcome back,'), 3 x h4. Templates: h1 'My Templates'.</t>
  </si>
  <si>
    <t>[Confirmed in code] Levels skip from none to h3.</t>
  </si>
  <si>
    <t>BUG-037</t>
  </si>
  <si>
    <t>Home: 'More Information' icon in Agreement activity is a non-focusable SVG so its tooltip cannot be reached by keyboard</t>
  </si>
  <si>
    <t>1. Open http://13.207.185.159/ in Chrome (latest), 1280x960, 100% zoom. 2. Sign in at the browser prompt (scalerailabs / QA@ScalerAILabs). 3. Go to /send/home. 4. Hover the (i) icon beside 'AGREEMENT ACTIVITY'. 5. Tab through the card.</t>
  </si>
  <si>
    <t>Icon is a focusable button that shows its tooltip on hover and focus.</t>
  </si>
  <si>
    <t>The icon is a bare &lt;svg role='img'&gt; in a span; nothing focusable.</t>
  </si>
  <si>
    <t>[Confirmed in code] Tooltip content not in the provided HTML, so [Verify in browser] hover behaviour.</t>
  </si>
  <si>
    <t>BUG-038</t>
  </si>
  <si>
    <t>Templates: hidden table caption begins with a stray comma ', column headers with buttons are sortable'</t>
  </si>
  <si>
    <t>Templates - table</t>
  </si>
  <si>
    <t>1. Open http://13.207.185.159/ in Chrome (latest), 1280x960, 100% zoom. 2. Sign in at the browser prompt (scalerailabs / QA@ScalerAILabs). 3. Click 'Templates' in the top nav (/send/templates). 4. Inspect the &lt;caption&gt; element.</t>
  </si>
  <si>
    <t>Caption reads e.g. 'My Templates, column headers with buttons are sortable' (as a screen reader would announce).</t>
  </si>
  <si>
    <t>Caption text is ', column headers with buttons are sortable' - the table name is missing.</t>
  </si>
  <si>
    <t>[Confirmed in code] Name string that should precede the comma is empty.</t>
  </si>
  <si>
    <t>BUG-039</t>
  </si>
  <si>
    <t>Templates: 'No templates found' text is 3.76:1 contrast on white, below WCAG AA 4.5:1</t>
  </si>
  <si>
    <t>Templates - empty state</t>
  </si>
  <si>
    <t>1. Open http://13.207.185.159/ in Chrome (latest), 1280x960, 100% zoom. 2. Sign in at the browser prompt (scalerailabs / QA@ScalerAILabs). 3. Click 'Templates' in the top nav (/send/templates). 4. Inspect the empty-state cell colour (rgba(19,0,50,0.5), 14px) and check contrast in DevTools.</t>
  </si>
  <si>
    <t>Text meets 4.5:1 (original body copy uses 0.7 alpha = 7.7:1).</t>
  </si>
  <si>
    <t>rgba(19,0,50,0.5) on #ffffff = 3.76:1.</t>
  </si>
  <si>
    <t>[Confirmed in code] Contrast computed by formula; confirm with DevTools colour picker.</t>
  </si>
  <si>
    <t>BUG-040</t>
  </si>
  <si>
    <t>Templates: page-size &lt;select&gt; has no accessible name</t>
  </si>
  <si>
    <t>1. Open http://13.207.185.159/ in Chrome (latest), 1280x960, 100% zoom. 2. Sign in at the browser prompt (scalerailabs / QA@ScalerAILabs). 3. Click 'Templates' in the top nav (/send/templates). 4. Inspect the '5 / Page' &lt;select&gt; in the Accessibility panel.</t>
  </si>
  <si>
    <t>Select has an aria-label such as 'Rows per page'.</t>
  </si>
  <si>
    <t>&lt;select&gt; has no label or aria-label.</t>
  </si>
  <si>
    <t>[Confirmed in code] Cross-reference BUG-023.</t>
  </si>
  <si>
    <t>BUG-041</t>
  </si>
  <si>
    <t>Templates: 'Show More' toggle is role=button with no aria-expanded</t>
  </si>
  <si>
    <t>1. Open http://13.207.185.159/ in Chrome (latest), 1280x960, 100% zoom. 2. Sign in at the browser prompt (scalerailabs / QA@ScalerAILabs). 3. Click 'Templates' in the top nav (/send/templates). 4. Inspect the 'Show More' span, then compare it to the 'Collapse' button above it.</t>
  </si>
  <si>
    <t>Toggle exposes aria-expanded so its state is announced.</t>
  </si>
  <si>
    <t>'Show More' has role='button' and tabindex but no aria-expanded (the Collapse chevron does).</t>
  </si>
  <si>
    <t>[Confirmed in code] Also test that Enter/Space activate it.</t>
  </si>
  <si>
    <t>BUG-042</t>
  </si>
  <si>
    <t>Templates: side nav contains three empty &lt;li&gt; elements</t>
  </si>
  <si>
    <t>1. Open http://13.207.185.159/ in Chrome (latest), 1280x960, 100% zoom. 2. Sign in at the browser prompt (scalerailabs / QA@ScalerAILabs). 3. Click 'Templates' in the top nav (/send/templates). 4. DevTools &gt; Elements &gt; side nav &lt;ul&gt;. Count &lt;li&gt; with no content.</t>
  </si>
  <si>
    <t>No empty list items (a screen reader announces them as blank list entries).</t>
  </si>
  <si>
    <t>Three &lt;li&gt; elements contain nothing.</t>
  </si>
  <si>
    <t>[Confirmed in code] Likely leftovers from removed items (e.g. hidden folders).</t>
  </si>
  <si>
    <t>BUG-043</t>
  </si>
  <si>
    <t>Footer: copyright year 2026 is a hard-coded literal</t>
  </si>
  <si>
    <t>1. Open http://13.207.185.159/ in Chrome (latest), 1280x960, 100% zoom. 2. Sign in at the browser prompt (scalerailabs / QA@ScalerAILabs). 3. Go to /send/home. 4. Read the footer copyright. 5. View source and search '2026'.</t>
  </si>
  <si>
    <t>Year comes from the current date so it changes each January.</t>
  </si>
  <si>
    <t>'Copyright © 2026 Docusign, Inc.' is a literal string in the server-rendered payload.</t>
  </si>
  <si>
    <t>[Confirmed in code] Correct today, stale from 1 Jan 2027. Cannot confirm the original uses a dynamic year.</t>
  </si>
  <si>
    <t>Bug count by severity</t>
  </si>
  <si>
    <t>Count</t>
  </si>
  <si>
    <t>P0</t>
  </si>
  <si>
    <t>P1</t>
  </si>
  <si>
    <t>Total</t>
  </si>
  <si>
    <t>Bug count by category</t>
  </si>
  <si>
    <t>Source of findings: static code review of 4 uploaded files (clone Home HTML, clone Templates HTML, original page shell, original empty-state SVG). No live comparison was possible; rows tagged [Verify in browser] need your confirmation.</t>
  </si>
  <si>
    <t>#</t>
  </si>
  <si>
    <t>Area</t>
  </si>
  <si>
    <t>Check (could not be decided from static code)</t>
  </si>
  <si>
    <t>Result / bug ID</t>
  </si>
  <si>
    <t>Home</t>
  </si>
  <si>
    <t>Click 'Start' (dropdown), 'Get Signatures', 'Sign a Document'. Do they open a menu / navigate? Compare menu items and styling with original.</t>
  </si>
  <si>
    <t>Click the 'Tasks page' chevron and the Agreement activity info icon; check tooltip content.</t>
  </si>
  <si>
    <t>Click each Overview row (label and count). Does it filter Agreements?</t>
  </si>
  <si>
    <t>Header</t>
  </si>
  <si>
    <t>Click the avatar: menu content, name/email/initials, any hard-coded values.</t>
  </si>
  <si>
    <t>Two empty containers sit between the nav and the icons. Compare with original header contents (e.g. upgrade/search items).</t>
  </si>
  <si>
    <t>Compare Templates page active-tab underline (3px, #130032) with Home.</t>
  </si>
  <si>
    <t>Templates</t>
  </si>
  <si>
    <t>Open 'Shared with Me' and 'Favorites' (?view=...). Do heading, search placeholder and empty state change, or stay 'My Templates'?</t>
  </si>
  <si>
    <t>Click 'Show More' in the side nav; 'Date' and 'Advanced search' filters; 'Customize columns'.</t>
  </si>
  <si>
    <t>Search box: whitespace only, 200+ characters, emoji, special characters (&lt; &gt; &amp; ' "). Check trimming and layout.</t>
  </si>
  <si>
    <t>Click 'Create Template' and walk the flow end to end; then check the new row's Last Change, Owner and Created Date for static/fake values.</t>
  </si>
  <si>
    <t>Refresh and use browser Back/Forward on /send/templates?view=favorites; open the URL directly.</t>
  </si>
  <si>
    <t>Global</t>
  </si>
  <si>
    <t>DevTools &gt; Computed: is 'DS Indigo' actually loaded or is Helvetica/Arial rendering? Compare with the original.</t>
  </si>
  <si>
    <t>Hover, focus (Tab) and active states of buttons and nav links vs original.</t>
  </si>
  <si>
    <t>Console and Network: errors, 404s (favicon, fonts, /grade.js).</t>
  </si>
  <si>
    <t>Resize to 1024 and 768 wide: check the responsive breakpoints against the original.</t>
  </si>
  <si>
    <t>Idle session / refresh mid-flow: does login persist?</t>
  </si>
  <si>
    <t>BUG-044</t>
  </si>
  <si>
    <t>Google Chrome 140.0.7339.102 / Windows 11</t>
  </si>
  <si>
    <t>5/5 Attempts</t>
  </si>
  <si>
    <t>BUG-046</t>
  </si>
  <si>
    <t>BUG-047</t>
  </si>
  <si>
    <t>BUG-048</t>
  </si>
  <si>
    <t>BUG-060</t>
  </si>
  <si>
    <t>BUG-059</t>
  </si>
  <si>
    <t>BUG-058</t>
  </si>
  <si>
    <t>BUG-057</t>
  </si>
  <si>
    <t>BUG-056</t>
  </si>
  <si>
    <t>BUG-055</t>
  </si>
  <si>
    <t>BUG-054</t>
  </si>
  <si>
    <t>BUG-053</t>
  </si>
  <si>
    <t>BUG-052</t>
  </si>
  <si>
    <t>BUG-051</t>
  </si>
  <si>
    <t>BUG-050</t>
  </si>
  <si>
    <t>BUG-049</t>
  </si>
  <si>
    <t>Get Signatures: “Creating envelope” loading popup is missing before navigation</t>
  </si>
  <si>
    <t>UI / Visual / Loading State</t>
  </si>
  <si>
    <t>Dashboard → Get Signatures</t>
  </si>
  <si>
    <t>1. Open original DocuSign in Chrome at 1280 × 960 viewport and 100% zoom. 2. Log in and navigate to the Dashboard. 3. Click Get Signatures. 4. Observe the temporary “Creating envelope” popup. 5. Open the Scaler DocuSign clone at the same viewport and zoom. 6. Log in using the provided credentials. 7. Click Get Signatures. 8. Observe the screen immediately after clicking the button.</t>
  </si>
  <si>
    <t>The clone should show a temporary white loading popup, or visually equivalent transition feedback, containing “Creating envelope” before navigating to the next page, consistent with original DocuSign.</t>
  </si>
  <si>
    <t>The clone immediately opens the next page after clicking Get Signatures. The white “Creating envelope” popup and equivalent loading feedback are not displayed.</t>
  </si>
  <si>
    <t>5/3 Attempts</t>
  </si>
  <si>
    <t>Original DocuSign displays a transitional envelope-creation state. The clone appears to navigate directly without the corresponding loading UI.</t>
  </si>
  <si>
    <t>Prepare screen: Signature field cannot be moved, resized, or deleted after placement</t>
  </si>
  <si>
    <t>Functional / Field Placement</t>
  </si>
  <si>
    <t>P1 or p2</t>
  </si>
  <si>
    <t>Prepare - Document Editor-  Signature Field</t>
  </si>
  <si>
    <t>1. Log in to the Scaler DocuSign clone. 2. From the Dashboard, click Get Signatures or Start. 3. Upload a valid PDF document. 4. Add a valid recipient. 5. Continue to the Prepare/document-editing screen. 6. Drag a Signature field onto the document. 7. Select the field. 8. Attempt to drag it to another position. 9. Attempt to resize it using the resize handles. 10. Attempt to delete it using the available delete control or Delete key.</t>
  </si>
  <si>
    <t>The empty state should render the official DocuSign vector illustration graphic (paper document and airplane graphics) alongside the empty state message.</t>
  </si>
  <si>
    <t>1280 x960</t>
  </si>
  <si>
    <t>The field selection or drag-and-drop event handler may not be enabled after the field is placed.</t>
  </si>
  <si>
    <t>Missing SVG Empty State Vector Illustration in Template Table</t>
  </si>
  <si>
    <t>My Templates View (/send/templates)</t>
  </si>
  <si>
    <t>Navigate to /send/templates where no templates are present. 2. Inspect the central container of the templates table body.</t>
  </si>
  <si>
    <r>
      <rPr>
        <sz val="9"/>
        <color theme="1"/>
        <rFont val="Arial"/>
        <family val="2"/>
      </rPr>
      <t>The clone application renders only plain text ("No templates found") inside the table body, completely omitting the required SVG illustration</t>
    </r>
    <r>
      <rPr>
        <sz val="11"/>
        <color theme="1"/>
        <rFont val="Calibri"/>
        <family val="2"/>
        <charset val="1"/>
      </rPr>
      <t>.</t>
    </r>
  </si>
  <si>
    <t xml:space="preserve">1230 x 960 </t>
  </si>
  <si>
    <t>The template component code lacks the vector asset injection block (emptyStateTemplate_svg__...) for zero-data views.</t>
  </si>
  <si>
    <t>https://drive.google.com/file/d/1A9LHDP6bKviylX5SeR2EaQhED7VKpSGR/view?usp=drive_link ,  Actual image : https://drive.google.com/file/d/1zv9399RDDtCn6Rb9y2NfrwYGJnZn2HGP/view?usp=drive_link</t>
  </si>
  <si>
    <t>Docusign:https://drive.google.com/file/d/1JDutphSRIYhq4UirfHTHQreDzDm7tdpq/view?usp=drive_link CloneDocusignhttps://drive.google.com/file/d/1uR7VxznbEttOsO5MPvB5_1Dj9fDamPww/view?usp=drive_link</t>
  </si>
  <si>
    <t>Docusign: https://drive.google.com/file/d/1sQGOpNtMKmskW4KyRiVzPyE_3qdQMrUD/view?usp=drive_link CloneDocusign : https://drive.google.com/file/d/1NwraVaAmm9CFN6QI8YkduwIuEK-Lqp9R/view?usp=drive_link</t>
  </si>
  <si>
    <t>Docusign https://drive.google.com/file/d/1sQGOpNtMKmskW4KyRiVzPyE_3qdQMrUD/view?usp=drive_link CloneDocusign : https://drive.google.com/file/d/1NwraVaAmm9CFN6QI8YkduwIuEK-Lqp9R/view?usp=drive_link</t>
  </si>
  <si>
    <t>clone Docusign : https://drive.google.com/file/d/1xcUxU3ufYW_Q97eoc6dSLPNSPR6Ow70/view?usp=drive_link      Docusign : https://drive.google.com/file/d/1bEjxQQwATtLx19Qd6Dy0XzW1SXdkFPLl/view?usp=drive_link</t>
  </si>
  <si>
    <t>Docusign :https://drive.google.com/file/d/1u_carM7t0iHlzLYuEx0kMRx-OEoZYGFX/view?usp=drive_link  clone docusign : https://drive.google.com/file/d/1MvYrVKELzSf4bLXmB5hHHebXTOfJLeJI/view?usp=drive_link</t>
  </si>
  <si>
    <t>Unauthorized Third-Party Script Injection</t>
  </si>
  <si>
    <t>Security / Functional</t>
  </si>
  <si>
    <t>Architecture</t>
  </si>
  <si>
    <t>Assets / UI</t>
  </si>
  <si>
    <t>UI / Accessibility</t>
  </si>
  <si>
    <t>UI Fidelity</t>
  </si>
  <si>
    <t>Metadata</t>
  </si>
  <si>
    <t>Assets</t>
  </si>
  <si>
    <t>UI / Mobile</t>
  </si>
  <si>
    <t>AUI / Mobile</t>
  </si>
  <si>
    <t>Complete Tech Stack Divergence</t>
  </si>
  <si>
    <t>Relative Asset Path for Logo</t>
  </si>
  <si>
    <t>Hardcoded Disabled Navigation States</t>
  </si>
  <si>
    <t>Over-reliance on Inline Styles</t>
  </si>
  <si>
    <t>Incorrect Page Title and Description</t>
  </si>
  <si>
    <t>Missing Open Graph &amp; Robot Meta Tags</t>
  </si>
  <si>
    <t>Missing Favicon and Touch Icons</t>
  </si>
  <si>
    <t>Missing Root Translation Attributes</t>
  </si>
  <si>
    <t>Missing iOS Viewport Scaling Prevention</t>
  </si>
  <si>
    <t>No external grading/tracking scripts in the base shell.</t>
  </si>
  <si>
    <t>Next.js App Router with static chunks (/_next/static/..</t>
  </si>
  <si>
    <t>Absolute CDN URL: https://docucdn-a.akamaihd.net/.../logo.png</t>
  </si>
  <si>
    <t>Dynamically rendered by @ds/send widget based on user entitlements</t>
  </si>
  <si>
    <t>&lt;title&gt;Docusign&lt;/title&gt;</t>
  </si>
  <si>
    <t>&lt;meta name="description" content="Docusign"&gt;</t>
  </si>
  <si>
    <t>&lt;meta property="og:title"...&gt;</t>
  </si>
  <si>
    <t>&lt;meta name="robots" content="noindex, nofollow"&gt;</t>
  </si>
  <si>
    <t>content="width=device-width, initial-scale=1, shrink-to-fit=no"</t>
  </si>
  <si>
    <t>&lt;html lang="en" dir="ltr" translate="no" class="notranslate"&gt;</t>
  </si>
  <si>
    <t>content="width=device-width, initial-scale=1"</t>
  </si>
  <si>
    <t>&lt;html lang="en"&gt;</t>
  </si>
  <si>
    <r>
      <rPr>
        <sz val="11"/>
        <rFont val="Calibri"/>
        <family val="2"/>
        <scheme val="minor"/>
      </rPr>
      <t>Entirely</t>
    </r>
    <r>
      <rPr>
        <sz val="8"/>
        <color rgb="FFFAFBFF"/>
        <rFont val="Arial"/>
        <family val="2"/>
      </rPr>
      <t xml:space="preserve"> absent.</t>
    </r>
  </si>
  <si>
    <r>
      <t xml:space="preserve">Entirely </t>
    </r>
    <r>
      <rPr>
        <sz val="12"/>
        <rFont val="Calibri"/>
        <family val="2"/>
        <scheme val="minor"/>
      </rPr>
      <t>absent.</t>
    </r>
  </si>
  <si>
    <r>
      <t xml:space="preserve">&lt;meta </t>
    </r>
    <r>
      <rPr>
        <sz val="11"/>
        <rFont val="Calibri"/>
        <family val="2"/>
        <scheme val="minor"/>
      </rPr>
      <t>&lt;meta name="description" content="Dashboard templa</t>
    </r>
    <r>
      <rPr>
        <sz val="8"/>
        <color rgb="FFFAFBFF"/>
        <rFont val="Consolas"/>
        <family val="3"/>
      </rPr>
      <t>te for RL environment..."/&gt;</t>
    </r>
  </si>
  <si>
    <t>&lt;script src="/grade.js" async=""&gt;&lt;/script&gt; is present.</t>
  </si>
  <si>
    <t>Next.js App Router with static chunks (/_next/static/...).</t>
  </si>
  <si>
    <t>Relative path: src="/logos/ds-logo-default.svg"</t>
  </si>
  <si>
    <t>Hardcoded &lt;span&gt; with cursor:not-allowed; opacity:0.5 or 0.4.</t>
  </si>
  <si>
    <t>Hundreds of inline styles (e.g., style="display:flex;align-items:center..."</t>
  </si>
  <si>
    <t>Trivial, but could cause minor zoom quirks on older iOS Safari versions.</t>
  </si>
  <si>
    <t>May cause browser translation pop-ups or RTL rendering issues in specific locales.</t>
  </si>
  <si>
    <t>Browser tab will show a default blank/globe icon instead of the DocuSign logo.</t>
  </si>
  <si>
    <t>Minor fidelity loss in document head structure.</t>
  </si>
  <si>
    <t>Breaks brand consistency and SEO metadata expectations.</t>
  </si>
  <si>
    <t>Violates best practices for pixel-accurate, maintainable, and responsive UI fidelity</t>
  </si>
  <si>
    <t>Degrades functional flow realism. A true clone should reflect dynamic user states, not hardcoded disabled states.</t>
  </si>
  <si>
    <t>Will result in a broken image icon (404) if not explicitly hosted at that exact local path.</t>
  </si>
  <si>
    <t>High risk of functional flow breakage behind the UI; not a true 1:1 micro-frontend replica.</t>
  </si>
  <si>
    <t>ritical anomaly. Likely an exam grading harness, but must be flagged as it intercepts or alters the functional flow.</t>
  </si>
  <si>
    <t>5/4 Attempts</t>
  </si>
  <si>
    <t>5 / 5 Attempts</t>
  </si>
  <si>
    <t>Global/head</t>
  </si>
  <si>
    <t>Global App Shell</t>
  </si>
  <si>
    <t>Header Navigation</t>
  </si>
  <si>
    <t>Header &amp; Sidebar</t>
  </si>
  <si>
    <t>Global Styling</t>
  </si>
  <si>
    <t>&lt;head&gt; Assets</t>
  </si>
  <si>
    <t>&lt;html&gt; Root Element</t>
  </si>
  <si>
    <t>&lt;meta name="viewport"&gt;</t>
  </si>
  <si>
    <t>1. Log in to the Scaler DocuSign clone. 2. go to Templetev 3create templete .</t>
  </si>
  <si>
    <t xml:space="preserve">1. Log in to the Scaler DocuSign clone. 2. go to Templetev 3.create templete . 4 . Check the viwepoint </t>
  </si>
  <si>
    <t>1. Log in to the Scaler DocuSign clone. 2. go to Templete  3. create templete . 4 . Go to transtaction. 5. check the root element</t>
  </si>
  <si>
    <t xml:space="preserve">1. Log in to the Scaler DocuSign clone. 2. Go to Templetev 3 .create templete .4.Go to Icons 5 . Search for the icons </t>
  </si>
  <si>
    <t>Docsign : https://drive.google.com/file/d/1MUkfkB6xUWpK5Wa-Iv9HURjbxojzGbQy/view?usp=drive_link  Clon Docsign : https://drive.google.com/file/d/1rivND8PFf6Os_LKsPGZW6UL76nIvYmmN/view?usp=drive_link</t>
  </si>
  <si>
    <t>Docsign : https://drive.google.com/file/d/1bEjxQQwATtLx19Qd6Dy0XzW1SXdkFPLl/view?usp=drive_link Clon, Docsign : https://drive.google.com/file/d/1xcUxU3ufYW_Q97eoc6d-SLPNSPR6Ow70/view?usp=drive_link</t>
  </si>
  <si>
    <t>BUG-016_global_meta-description.pngclone Docusign : https://drive.google.com/file/d/1xcUxU3ufYW_Q97eoc6dSLPNSPR6Ow70/view?usp=drive_link      Docusign : https://drive.google.com/file/d/1bEjxQQwATtLx19Qd6Dy0XzW1SXdkFPLl/view?usp=drive_link</t>
  </si>
  <si>
    <t>BUG-045</t>
  </si>
  <si>
    <t>Clone Docsign : https://drive.google.com/file/d/1A_GyvuiW5zKez3nLfDKQ7o7v04E17nWm/view?usp=sharing Docusign : https://drive.google.com/file/d/1tMc104NfKfjJARcBWnO89hnwXEIxTxRD/view?usp=drive_link</t>
  </si>
  <si>
    <t xml:space="preserve">Different Checkin Boxes </t>
  </si>
  <si>
    <t>1.Login to Scaler Docusign clone . 2. go to get signature 3.go to add recipets</t>
  </si>
  <si>
    <t>The checken boxes must be 3 instre of 2 , The text is different for both theclick boxes</t>
  </si>
  <si>
    <t>Total there is  2 checkboex which will functional well</t>
  </si>
  <si>
    <t xml:space="preserve">Height and Width of the Uplode Document section </t>
  </si>
  <si>
    <t>The height and with of the uplode document section is different compare with actual clone</t>
  </si>
  <si>
    <t>UI/Pixel</t>
  </si>
  <si>
    <t>UI/Mobile</t>
  </si>
  <si>
    <t>1.Login to Scaler Docusign clone . 2. go to get signature 3.go to add recipets 4.try to uplode the docment</t>
  </si>
  <si>
    <t>1.Login to Scaler Docusign clone . 2. go to get signature 3.go to add recipets 4.try to uplode the docment 5.scroll down go check the checkponts</t>
  </si>
  <si>
    <t xml:space="preserve">when we try to click the check boxes there are dffrent to actual and normal ones </t>
  </si>
  <si>
    <t xml:space="preserve">The Message section : there are content and foint size is different </t>
  </si>
  <si>
    <t xml:space="preserve">the Height and width of the message content </t>
  </si>
  <si>
    <t>Glodel/head</t>
  </si>
  <si>
    <t>Globel/head</t>
  </si>
  <si>
    <t xml:space="preserve">1.Login to Scaler Docusign clone . 2. go to get signature 3.go to add recipets 4.scroll down the page 5 . Check the Add message coontainer </t>
  </si>
  <si>
    <t xml:space="preserve">the font size and font style are different </t>
  </si>
  <si>
    <t>we need fine proper font size and font-family to get accurate results</t>
  </si>
  <si>
    <t>The actual clone height and normal browser height width are diffrent</t>
  </si>
  <si>
    <t xml:space="preserve">To get a proper  UI of the page we need dto take care of the font's propertys also </t>
  </si>
  <si>
    <t>the height width and padding and margin properties are diffent for both the screens</t>
  </si>
  <si>
    <t>the height awidth and padding and margin properties are diffent for both the screens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</si>
</sst>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charset val="1"/>
    </font>
    <font>
      <sz val="11"/>
      <color theme="1"/>
      <name val="Calibri"/>
      <family val="2"/>
      <scheme val="minor"/>
    </font>
    <font>
      <b/>
      <sz val="10"/>
      <color rgb="FFFFFFFF"/>
      <name val="Arial"/>
      <charset val="1"/>
    </font>
    <font>
      <sz val="9"/>
      <name val="Arial"/>
      <charset val="1"/>
    </font>
    <font>
      <i/>
      <sz val="9"/>
      <name val="Arial"/>
      <charset val="1"/>
    </font>
    <font>
      <b/>
      <sz val="11"/>
      <name val="Arial"/>
      <charset val="1"/>
    </font>
    <font>
      <b/>
      <sz val="10"/>
      <name val="Arial"/>
      <charset val="1"/>
    </font>
    <font>
      <sz val="10"/>
      <name val="Arial"/>
      <charset val="1"/>
    </font>
    <font>
      <sz val="9"/>
      <name val="Arial"/>
      <family val="2"/>
    </font>
    <font>
      <sz val="9"/>
      <color theme="1"/>
      <name val="Arial"/>
      <family val="2"/>
    </font>
    <font>
      <u/>
      <sz val="11"/>
      <color theme="10"/>
      <name val="Calibri"/>
      <family val="2"/>
      <charset val="1"/>
    </font>
    <font>
      <sz val="8"/>
      <color rgb="FFFAFBFF"/>
      <name val="Arial"/>
      <family val="2"/>
    </font>
    <font>
      <sz val="12"/>
      <name val="Calibri"/>
      <family val="2"/>
      <scheme val="minor"/>
    </font>
    <font>
      <sz val="11"/>
      <name val="Calibri"/>
      <family val="2"/>
      <scheme val="minor"/>
    </font>
    <font>
      <sz val="10"/>
      <color theme="1"/>
      <name val="Calibri"/>
      <family val="2"/>
      <scheme val="minor"/>
    </font>
    <font>
      <sz val="10"/>
      <name val="Calibri"/>
      <family val="2"/>
      <scheme val="minor"/>
    </font>
    <font>
      <sz val="8"/>
      <color rgb="FFFAFBFF"/>
      <name val="Consolas"/>
      <family val="3"/>
    </font>
    <font>
      <b/>
      <sz val="10"/>
      <color rgb="FFFFFFFF"/>
      <name val="Arial"/>
      <family val="2"/>
    </font>
  </fonts>
  <fills count="6">
    <fill>
      <patternFill patternType="none"/>
    </fill>
    <fill>
      <patternFill patternType="gray125"/>
    </fill>
    <fill>
      <patternFill patternType="solid">
        <fgColor rgb="FF260559"/>
        <bgColor rgb="FF000080"/>
      </patternFill>
    </fill>
    <fill>
      <patternFill patternType="solid">
        <fgColor rgb="FFFFF2CC"/>
        <bgColor rgb="FFFFFFFF"/>
      </patternFill>
    </fill>
    <fill>
      <patternFill patternType="solid">
        <fgColor theme="0"/>
        <bgColor rgb="FFFFFFFF"/>
      </patternFill>
    </fill>
    <fill>
      <patternFill patternType="solid">
        <fgColor theme="0"/>
        <bgColor indexed="64"/>
      </patternFill>
    </fill>
  </fills>
  <borders count="4">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right style="thin">
        <color rgb="FFD0D0D0"/>
      </right>
      <top/>
      <bottom/>
      <diagonal/>
    </border>
  </borders>
  <cellStyleXfs count="2">
    <xf numFmtId="0" fontId="0" fillId="0" borderId="0"/>
    <xf numFmtId="0" fontId="10" fillId="0" borderId="0" applyNumberFormat="0" applyFill="0" applyBorder="0" applyAlignment="0" applyProtection="0"/>
  </cellStyleXfs>
  <cellXfs count="53">
    <xf numFmtId="0" fontId="0" fillId="0" borderId="0" xfId="0"/>
    <xf numFmtId="0" fontId="2" fillId="2" borderId="1" xfId="0" applyFont="1" applyFill="1" applyBorder="1" applyAlignment="1">
      <alignment vertical="center" wrapText="1"/>
    </xf>
    <xf numFmtId="0" fontId="3" fillId="0" borderId="1" xfId="0" applyFont="1" applyBorder="1" applyAlignment="1">
      <alignment vertical="top" wrapText="1"/>
    </xf>
    <xf numFmtId="0" fontId="3" fillId="0" borderId="1" xfId="0" applyFont="1" applyBorder="1" applyAlignment="1">
      <alignment horizontal="center" vertical="top"/>
    </xf>
    <xf numFmtId="0" fontId="4" fillId="0" borderId="0" xfId="0" applyFont="1"/>
    <xf numFmtId="0" fontId="5" fillId="0" borderId="0" xfId="0" applyFont="1"/>
    <xf numFmtId="0" fontId="6" fillId="0" borderId="0" xfId="0" applyFont="1"/>
    <xf numFmtId="0" fontId="7" fillId="0" borderId="0" xfId="0" applyFont="1"/>
    <xf numFmtId="0" fontId="2" fillId="2" borderId="0" xfId="0" applyFont="1" applyFill="1"/>
    <xf numFmtId="0" fontId="3" fillId="0" borderId="0" xfId="0" applyFont="1" applyAlignment="1">
      <alignment vertical="top" wrapText="1"/>
    </xf>
    <xf numFmtId="0" fontId="0" fillId="3" borderId="0" xfId="0" applyFill="1"/>
    <xf numFmtId="14" fontId="3" fillId="4" borderId="1" xfId="0" applyNumberFormat="1" applyFont="1" applyFill="1" applyBorder="1" applyAlignment="1">
      <alignment horizontal="center" vertical="top" wrapText="1"/>
    </xf>
    <xf numFmtId="14" fontId="3" fillId="4" borderId="1" xfId="0" applyNumberFormat="1" applyFont="1" applyFill="1" applyBorder="1" applyAlignment="1">
      <alignment horizontal="center" vertical="top"/>
    </xf>
    <xf numFmtId="0" fontId="3" fillId="4" borderId="1" xfId="0" applyFont="1" applyFill="1" applyBorder="1" applyAlignment="1">
      <alignment vertical="top" wrapText="1"/>
    </xf>
    <xf numFmtId="16" fontId="3" fillId="4" borderId="1" xfId="0" applyNumberFormat="1" applyFont="1" applyFill="1" applyBorder="1" applyAlignment="1">
      <alignment horizontal="center" vertical="top" wrapText="1"/>
    </xf>
    <xf numFmtId="14" fontId="0" fillId="0" borderId="0" xfId="0" applyNumberFormat="1" applyAlignment="1">
      <alignment horizontal="center"/>
    </xf>
    <xf numFmtId="0" fontId="3" fillId="0" borderId="2" xfId="0" applyFont="1" applyFill="1" applyBorder="1" applyAlignment="1">
      <alignment vertical="top" wrapText="1"/>
    </xf>
    <xf numFmtId="0" fontId="0" fillId="0" borderId="0" xfId="0" applyAlignment="1">
      <alignment vertical="top"/>
    </xf>
    <xf numFmtId="0" fontId="3" fillId="0" borderId="2" xfId="0" applyFont="1" applyFill="1" applyBorder="1" applyAlignment="1">
      <alignment horizontal="center" vertical="top"/>
    </xf>
    <xf numFmtId="0" fontId="0" fillId="0" borderId="0" xfId="0" applyAlignment="1">
      <alignment vertical="top" wrapText="1"/>
    </xf>
    <xf numFmtId="0" fontId="0" fillId="5" borderId="0" xfId="0" applyFill="1" applyAlignment="1">
      <alignment vertical="top"/>
    </xf>
    <xf numFmtId="14" fontId="0" fillId="5" borderId="0" xfId="0" applyNumberFormat="1" applyFill="1" applyAlignment="1">
      <alignment horizontal="center" vertical="top"/>
    </xf>
    <xf numFmtId="0" fontId="8" fillId="0" borderId="1" xfId="0" applyFont="1" applyBorder="1" applyAlignment="1">
      <alignment vertical="top" wrapText="1"/>
    </xf>
    <xf numFmtId="0" fontId="8" fillId="0" borderId="2" xfId="0" applyFont="1" applyFill="1" applyBorder="1" applyAlignment="1">
      <alignment vertical="top" wrapText="1"/>
    </xf>
    <xf numFmtId="0" fontId="8" fillId="0" borderId="2" xfId="0" applyFont="1" applyFill="1" applyBorder="1" applyAlignment="1">
      <alignment horizontal="center" vertical="top"/>
    </xf>
    <xf numFmtId="0" fontId="9" fillId="0" borderId="0" xfId="0" applyFont="1" applyAlignment="1">
      <alignment vertical="top" wrapText="1"/>
    </xf>
    <xf numFmtId="0" fontId="9" fillId="0" borderId="0" xfId="0" applyFont="1" applyAlignment="1">
      <alignment horizontal="left" vertical="top" wrapText="1"/>
    </xf>
    <xf numFmtId="0" fontId="8" fillId="0" borderId="0" xfId="0" applyFont="1" applyAlignment="1">
      <alignment vertical="top" wrapText="1"/>
    </xf>
    <xf numFmtId="0" fontId="8" fillId="0" borderId="0" xfId="0" applyFont="1" applyFill="1" applyBorder="1" applyAlignment="1">
      <alignment vertical="top" wrapText="1"/>
    </xf>
    <xf numFmtId="0" fontId="8" fillId="4" borderId="0" xfId="0" applyFont="1" applyFill="1" applyBorder="1" applyAlignment="1">
      <alignment vertical="top" wrapText="1"/>
    </xf>
    <xf numFmtId="14" fontId="0" fillId="0" borderId="0" xfId="0" applyNumberFormat="1" applyAlignment="1">
      <alignment horizontal="center" vertical="top"/>
    </xf>
    <xf numFmtId="0" fontId="1" fillId="0" borderId="0" xfId="0" applyFont="1" applyAlignment="1">
      <alignment horizontal="left" vertical="top" wrapText="1"/>
    </xf>
    <xf numFmtId="0" fontId="8" fillId="0" borderId="3" xfId="0" applyFont="1" applyFill="1" applyBorder="1"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10" fillId="4" borderId="1" xfId="1" applyFill="1" applyBorder="1" applyAlignment="1">
      <alignment vertical="top" wrapText="1"/>
    </xf>
    <xf numFmtId="0" fontId="8" fillId="4" borderId="1" xfId="0" applyFont="1" applyFill="1" applyBorder="1" applyAlignment="1">
      <alignment vertical="top" wrapText="1"/>
    </xf>
    <xf numFmtId="0" fontId="13" fillId="5" borderId="0" xfId="0" applyFont="1" applyFill="1"/>
    <xf numFmtId="0" fontId="8" fillId="0" borderId="0" xfId="0" applyFont="1" applyFill="1" applyBorder="1" applyAlignment="1">
      <alignment horizontal="center" vertical="top"/>
    </xf>
    <xf numFmtId="0" fontId="15" fillId="0" borderId="0" xfId="0" applyFont="1" applyAlignment="1">
      <alignment horizontal="left" vertical="top" wrapText="1"/>
    </xf>
    <xf numFmtId="0" fontId="11" fillId="0" borderId="0" xfId="0" applyFont="1" applyAlignment="1">
      <alignment vertical="top"/>
    </xf>
    <xf numFmtId="0" fontId="11" fillId="0" borderId="0" xfId="0" applyFont="1" applyAlignment="1">
      <alignment horizontal="left" vertical="top"/>
    </xf>
    <xf numFmtId="0" fontId="16" fillId="0" borderId="0" xfId="0" applyFont="1" applyAlignment="1">
      <alignment vertical="top"/>
    </xf>
    <xf numFmtId="0" fontId="17" fillId="2" borderId="1" xfId="0" applyFont="1" applyFill="1" applyBorder="1" applyAlignment="1">
      <alignment vertical="center" wrapText="1"/>
    </xf>
    <xf numFmtId="0" fontId="13" fillId="0" borderId="0" xfId="0" applyFont="1" applyAlignment="1">
      <alignment vertical="top"/>
    </xf>
    <xf numFmtId="0" fontId="15" fillId="0" borderId="0" xfId="0" applyFont="1" applyAlignment="1">
      <alignment vertical="top"/>
    </xf>
    <xf numFmtId="0" fontId="14" fillId="0" borderId="0" xfId="0" applyFont="1" applyAlignment="1">
      <alignment vertical="top"/>
    </xf>
    <xf numFmtId="0" fontId="0" fillId="0" borderId="0" xfId="0" applyAlignment="1">
      <alignment horizontal="center" vertical="top"/>
    </xf>
    <xf numFmtId="0" fontId="10" fillId="4" borderId="1" xfId="1" applyFill="1" applyBorder="1" applyAlignment="1">
      <alignment horizontal="left" vertical="top" wrapText="1"/>
    </xf>
    <xf numFmtId="0" fontId="10" fillId="0" borderId="0" xfId="1" applyAlignment="1">
      <alignment vertical="top" wrapText="1"/>
    </xf>
    <xf numFmtId="0" fontId="10" fillId="4" borderId="2" xfId="1" applyFill="1" applyBorder="1" applyAlignment="1">
      <alignment vertical="top" wrapText="1"/>
    </xf>
    <xf numFmtId="0" fontId="10" fillId="4" borderId="2" xfId="1" applyFill="1" applyBorder="1" applyAlignment="1">
      <alignment horizontal="left" vertical="top" wrapText="1"/>
    </xf>
    <xf numFmtId="0" fontId="0" fillId="0" borderId="0" xfId="0" applyFill="1" applyBorder="1" applyAlignment="1">
      <alignment vertical="top"/>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260559"/>
      <rgbColor rgb="FF808000"/>
      <rgbColor rgb="FF800080"/>
      <rgbColor rgb="FF008080"/>
      <rgbColor rgb="FFC0C0C0"/>
      <rgbColor rgb="FF808080"/>
      <rgbColor rgb="FF9999FF"/>
      <rgbColor rgb="FF993366"/>
      <rgbColor rgb="FFFFF2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ive.google.com/file/d/1A9LHDP6bKviylX5SeR2EaQhED7VKpSGR/view?usp=drive_link%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3"/>
  <sheetViews>
    <sheetView tabSelected="1" zoomScale="80" zoomScaleNormal="100" workbookViewId="0">
      <pane xSplit="2" ySplit="1" topLeftCell="H58" activePane="bottomRight" state="frozen"/>
      <selection pane="topRight" activeCell="H1" sqref="H1"/>
      <selection pane="bottomLeft" activeCell="A2" sqref="A2"/>
      <selection pane="bottomRight" activeCell="J59" sqref="J59"/>
    </sheetView>
  </sheetViews>
  <sheetFormatPr defaultColWidth="8.6640625" defaultRowHeight="14.4" x14ac:dyDescent="0.3"/>
  <cols>
    <col min="1" max="1" width="10" customWidth="1"/>
    <col min="2" max="2" width="46" customWidth="1"/>
    <col min="3" max="3" width="16" customWidth="1"/>
    <col min="4" max="4" width="10" customWidth="1"/>
    <col min="5" max="5" width="26" customWidth="1"/>
    <col min="6" max="6" width="60" customWidth="1"/>
    <col min="7" max="7" width="44" customWidth="1"/>
    <col min="8" max="8" width="52" customWidth="1"/>
    <col min="9" max="9" width="34" customWidth="1"/>
    <col min="10" max="10" width="20" customWidth="1"/>
    <col min="11" max="11" width="12" customWidth="1"/>
    <col min="12" max="13" width="14" customWidth="1"/>
    <col min="14" max="14" width="52" customWidth="1"/>
  </cols>
  <sheetData>
    <row r="1" spans="1:14" ht="30" customHeight="1" x14ac:dyDescent="0.3">
      <c r="A1" s="1" t="s">
        <v>0</v>
      </c>
      <c r="B1" s="1" t="s">
        <v>1</v>
      </c>
      <c r="C1" s="1" t="s">
        <v>2</v>
      </c>
      <c r="D1" s="1" t="s">
        <v>3</v>
      </c>
      <c r="E1" s="1" t="s">
        <v>4</v>
      </c>
      <c r="F1" s="43" t="s">
        <v>5</v>
      </c>
      <c r="G1" s="1" t="s">
        <v>6</v>
      </c>
      <c r="H1" s="1" t="s">
        <v>7</v>
      </c>
      <c r="I1" s="1" t="s">
        <v>8</v>
      </c>
      <c r="J1" s="1" t="s">
        <v>9</v>
      </c>
      <c r="K1" s="1" t="s">
        <v>10</v>
      </c>
      <c r="L1" s="1" t="s">
        <v>11</v>
      </c>
      <c r="M1" s="1" t="s">
        <v>12</v>
      </c>
      <c r="N1" s="1" t="s">
        <v>13</v>
      </c>
    </row>
    <row r="2" spans="1:14" ht="57" customHeight="1" x14ac:dyDescent="0.3">
      <c r="A2" s="2" t="s">
        <v>14</v>
      </c>
      <c r="B2" s="2" t="s">
        <v>15</v>
      </c>
      <c r="C2" s="2" t="s">
        <v>16</v>
      </c>
      <c r="D2" s="3" t="s">
        <v>17</v>
      </c>
      <c r="E2" s="2" t="s">
        <v>18</v>
      </c>
      <c r="F2" s="2" t="s">
        <v>19</v>
      </c>
      <c r="G2" s="2" t="s">
        <v>20</v>
      </c>
      <c r="H2" s="2" t="s">
        <v>21</v>
      </c>
      <c r="I2" s="35" t="s">
        <v>385</v>
      </c>
      <c r="J2" s="13" t="s">
        <v>342</v>
      </c>
      <c r="K2" s="2" t="s">
        <v>22</v>
      </c>
      <c r="L2" s="13" t="s">
        <v>23</v>
      </c>
      <c r="M2" s="12">
        <v>46292</v>
      </c>
      <c r="N2" s="2" t="s">
        <v>24</v>
      </c>
    </row>
    <row r="3" spans="1:14" ht="33.75" customHeight="1" x14ac:dyDescent="0.3">
      <c r="A3" s="2" t="s">
        <v>25</v>
      </c>
      <c r="B3" s="2" t="s">
        <v>26</v>
      </c>
      <c r="C3" s="2" t="s">
        <v>27</v>
      </c>
      <c r="D3" s="3" t="s">
        <v>17</v>
      </c>
      <c r="E3" s="2" t="s">
        <v>28</v>
      </c>
      <c r="F3" s="2" t="s">
        <v>29</v>
      </c>
      <c r="G3" s="2" t="s">
        <v>30</v>
      </c>
      <c r="H3" s="2" t="s">
        <v>31</v>
      </c>
      <c r="I3" s="35" t="s">
        <v>385</v>
      </c>
      <c r="J3" s="13" t="s">
        <v>342</v>
      </c>
      <c r="K3" s="2" t="s">
        <v>22</v>
      </c>
      <c r="L3" s="13" t="s">
        <v>23</v>
      </c>
      <c r="M3" s="11">
        <v>46292</v>
      </c>
      <c r="N3" s="2" t="s">
        <v>32</v>
      </c>
    </row>
    <row r="4" spans="1:14" ht="33.75" customHeight="1" x14ac:dyDescent="0.3">
      <c r="A4" s="2" t="s">
        <v>33</v>
      </c>
      <c r="B4" s="2" t="s">
        <v>34</v>
      </c>
      <c r="C4" s="2" t="s">
        <v>16</v>
      </c>
      <c r="D4" s="3" t="s">
        <v>17</v>
      </c>
      <c r="E4" s="2" t="s">
        <v>35</v>
      </c>
      <c r="F4" s="2" t="s">
        <v>36</v>
      </c>
      <c r="G4" s="2" t="s">
        <v>37</v>
      </c>
      <c r="H4" s="2" t="s">
        <v>38</v>
      </c>
      <c r="I4" s="35" t="s">
        <v>385</v>
      </c>
      <c r="J4" s="13" t="s">
        <v>342</v>
      </c>
      <c r="K4" s="2" t="s">
        <v>22</v>
      </c>
      <c r="L4" s="13" t="s">
        <v>343</v>
      </c>
      <c r="M4" s="11">
        <v>46292</v>
      </c>
      <c r="N4" s="2" t="s">
        <v>39</v>
      </c>
    </row>
    <row r="5" spans="1:14" ht="33.75" customHeight="1" x14ac:dyDescent="0.3">
      <c r="A5" s="2" t="s">
        <v>40</v>
      </c>
      <c r="B5" s="2" t="s">
        <v>41</v>
      </c>
      <c r="C5" s="2" t="s">
        <v>42</v>
      </c>
      <c r="D5" s="3" t="s">
        <v>17</v>
      </c>
      <c r="E5" s="2" t="s">
        <v>43</v>
      </c>
      <c r="F5" s="2" t="s">
        <v>44</v>
      </c>
      <c r="G5" s="2" t="s">
        <v>45</v>
      </c>
      <c r="H5" s="2" t="s">
        <v>46</v>
      </c>
      <c r="I5" s="35" t="s">
        <v>385</v>
      </c>
      <c r="J5" s="13" t="s">
        <v>342</v>
      </c>
      <c r="K5" s="2" t="s">
        <v>22</v>
      </c>
      <c r="L5" s="13" t="s">
        <v>343</v>
      </c>
      <c r="M5" s="11">
        <v>46292</v>
      </c>
      <c r="N5" s="2" t="s">
        <v>47</v>
      </c>
    </row>
    <row r="6" spans="1:14" ht="57" customHeight="1" x14ac:dyDescent="0.3">
      <c r="A6" s="2" t="s">
        <v>48</v>
      </c>
      <c r="B6" s="2" t="s">
        <v>49</v>
      </c>
      <c r="C6" s="2" t="s">
        <v>27</v>
      </c>
      <c r="D6" s="3" t="s">
        <v>17</v>
      </c>
      <c r="E6" s="2" t="s">
        <v>50</v>
      </c>
      <c r="F6" s="2" t="s">
        <v>51</v>
      </c>
      <c r="G6" s="2" t="s">
        <v>52</v>
      </c>
      <c r="H6" s="2" t="s">
        <v>53</v>
      </c>
      <c r="I6" s="35" t="s">
        <v>385</v>
      </c>
      <c r="J6" s="13" t="s">
        <v>342</v>
      </c>
      <c r="K6" s="2" t="s">
        <v>22</v>
      </c>
      <c r="L6" s="13" t="s">
        <v>343</v>
      </c>
      <c r="M6" s="12">
        <v>46292</v>
      </c>
      <c r="N6" s="2" t="s">
        <v>54</v>
      </c>
    </row>
    <row r="7" spans="1:14" ht="45" customHeight="1" x14ac:dyDescent="0.3">
      <c r="A7" s="2" t="s">
        <v>55</v>
      </c>
      <c r="B7" s="2" t="s">
        <v>56</v>
      </c>
      <c r="C7" s="2" t="s">
        <v>27</v>
      </c>
      <c r="D7" s="3" t="s">
        <v>57</v>
      </c>
      <c r="E7" s="2" t="s">
        <v>58</v>
      </c>
      <c r="F7" s="2" t="s">
        <v>59</v>
      </c>
      <c r="G7" s="2" t="s">
        <v>60</v>
      </c>
      <c r="H7" s="2" t="s">
        <v>61</v>
      </c>
      <c r="I7" s="35" t="s">
        <v>385</v>
      </c>
      <c r="J7" s="13" t="s">
        <v>342</v>
      </c>
      <c r="K7" s="2" t="s">
        <v>22</v>
      </c>
      <c r="L7" s="13" t="s">
        <v>343</v>
      </c>
      <c r="M7" s="11">
        <v>46292</v>
      </c>
      <c r="N7" s="2" t="s">
        <v>62</v>
      </c>
    </row>
    <row r="8" spans="1:14" ht="33.75" customHeight="1" x14ac:dyDescent="0.3">
      <c r="A8" s="2" t="s">
        <v>63</v>
      </c>
      <c r="B8" s="2" t="s">
        <v>64</v>
      </c>
      <c r="C8" s="2" t="s">
        <v>16</v>
      </c>
      <c r="D8" s="3" t="s">
        <v>57</v>
      </c>
      <c r="E8" s="2" t="s">
        <v>65</v>
      </c>
      <c r="F8" s="2" t="s">
        <v>66</v>
      </c>
      <c r="G8" s="2" t="s">
        <v>67</v>
      </c>
      <c r="H8" s="2" t="s">
        <v>68</v>
      </c>
      <c r="I8" s="35" t="s">
        <v>381</v>
      </c>
      <c r="J8" s="13" t="s">
        <v>342</v>
      </c>
      <c r="K8" s="2" t="s">
        <v>22</v>
      </c>
      <c r="L8" s="13" t="s">
        <v>343</v>
      </c>
      <c r="M8" s="12">
        <v>46292</v>
      </c>
      <c r="N8" s="2" t="s">
        <v>69</v>
      </c>
    </row>
    <row r="9" spans="1:14" ht="45" customHeight="1" x14ac:dyDescent="0.3">
      <c r="A9" s="2" t="s">
        <v>70</v>
      </c>
      <c r="B9" s="2" t="s">
        <v>71</v>
      </c>
      <c r="C9" s="2" t="s">
        <v>42</v>
      </c>
      <c r="D9" s="3" t="s">
        <v>57</v>
      </c>
      <c r="E9" s="2" t="s">
        <v>35</v>
      </c>
      <c r="F9" s="2" t="s">
        <v>72</v>
      </c>
      <c r="G9" s="2" t="s">
        <v>73</v>
      </c>
      <c r="H9" s="2" t="s">
        <v>74</v>
      </c>
      <c r="I9" s="48" t="s">
        <v>382</v>
      </c>
      <c r="J9" s="13" t="s">
        <v>342</v>
      </c>
      <c r="K9" s="2" t="s">
        <v>22</v>
      </c>
      <c r="L9" s="13" t="s">
        <v>343</v>
      </c>
      <c r="M9" s="12">
        <v>46292</v>
      </c>
      <c r="N9" s="2" t="s">
        <v>75</v>
      </c>
    </row>
    <row r="10" spans="1:14" ht="33.75" customHeight="1" x14ac:dyDescent="0.3">
      <c r="A10" s="2" t="s">
        <v>76</v>
      </c>
      <c r="B10" s="2" t="s">
        <v>77</v>
      </c>
      <c r="C10" s="2" t="s">
        <v>42</v>
      </c>
      <c r="D10" s="3" t="s">
        <v>57</v>
      </c>
      <c r="E10" s="2" t="s">
        <v>78</v>
      </c>
      <c r="F10" s="2" t="s">
        <v>79</v>
      </c>
      <c r="G10" s="2" t="s">
        <v>80</v>
      </c>
      <c r="H10" s="2" t="s">
        <v>81</v>
      </c>
      <c r="I10" s="48" t="s">
        <v>382</v>
      </c>
      <c r="J10" s="13" t="s">
        <v>342</v>
      </c>
      <c r="K10" s="2" t="s">
        <v>22</v>
      </c>
      <c r="L10" s="13" t="s">
        <v>343</v>
      </c>
      <c r="M10" s="11">
        <v>46292</v>
      </c>
      <c r="N10" s="2" t="s">
        <v>82</v>
      </c>
    </row>
    <row r="11" spans="1:14" ht="33.75" customHeight="1" x14ac:dyDescent="0.3">
      <c r="A11" s="2" t="s">
        <v>83</v>
      </c>
      <c r="B11" s="2" t="s">
        <v>84</v>
      </c>
      <c r="C11" s="2" t="s">
        <v>42</v>
      </c>
      <c r="D11" s="3" t="s">
        <v>57</v>
      </c>
      <c r="E11" s="2" t="s">
        <v>28</v>
      </c>
      <c r="F11" s="2" t="s">
        <v>85</v>
      </c>
      <c r="G11" s="2" t="s">
        <v>86</v>
      </c>
      <c r="H11" s="2" t="s">
        <v>87</v>
      </c>
      <c r="I11" s="35" t="s">
        <v>385</v>
      </c>
      <c r="J11" s="13" t="s">
        <v>342</v>
      </c>
      <c r="K11" s="2" t="s">
        <v>22</v>
      </c>
      <c r="L11" s="13" t="s">
        <v>343</v>
      </c>
      <c r="M11" s="11">
        <v>46292</v>
      </c>
      <c r="N11" s="2" t="s">
        <v>88</v>
      </c>
    </row>
    <row r="12" spans="1:14" ht="33.75" customHeight="1" x14ac:dyDescent="0.3">
      <c r="A12" s="2" t="s">
        <v>89</v>
      </c>
      <c r="B12" s="2" t="s">
        <v>90</v>
      </c>
      <c r="C12" s="2" t="s">
        <v>42</v>
      </c>
      <c r="D12" s="3" t="s">
        <v>91</v>
      </c>
      <c r="E12" s="2" t="s">
        <v>92</v>
      </c>
      <c r="F12" s="2" t="s">
        <v>93</v>
      </c>
      <c r="G12" s="2" t="s">
        <v>94</v>
      </c>
      <c r="H12" s="2" t="s">
        <v>95</v>
      </c>
      <c r="I12" s="35" t="s">
        <v>385</v>
      </c>
      <c r="J12" s="13" t="s">
        <v>342</v>
      </c>
      <c r="K12" s="2" t="s">
        <v>22</v>
      </c>
      <c r="L12" s="13" t="s">
        <v>343</v>
      </c>
      <c r="M12" s="11">
        <v>46292</v>
      </c>
      <c r="N12" s="2" t="s">
        <v>96</v>
      </c>
    </row>
    <row r="13" spans="1:14" ht="57" customHeight="1" x14ac:dyDescent="0.3">
      <c r="A13" s="2" t="s">
        <v>97</v>
      </c>
      <c r="B13" s="2" t="s">
        <v>98</v>
      </c>
      <c r="C13" s="2" t="s">
        <v>42</v>
      </c>
      <c r="D13" s="3" t="s">
        <v>91</v>
      </c>
      <c r="E13" s="2" t="s">
        <v>99</v>
      </c>
      <c r="F13" s="2" t="s">
        <v>100</v>
      </c>
      <c r="G13" s="2" t="s">
        <v>101</v>
      </c>
      <c r="H13" s="2" t="s">
        <v>102</v>
      </c>
      <c r="I13" s="35" t="s">
        <v>385</v>
      </c>
      <c r="J13" s="13" t="s">
        <v>342</v>
      </c>
      <c r="K13" s="2" t="s">
        <v>22</v>
      </c>
      <c r="L13" s="13" t="s">
        <v>343</v>
      </c>
      <c r="M13" s="11">
        <v>46292</v>
      </c>
      <c r="N13" s="2" t="s">
        <v>103</v>
      </c>
    </row>
    <row r="14" spans="1:14" ht="33.75" customHeight="1" x14ac:dyDescent="0.3">
      <c r="A14" s="2" t="s">
        <v>104</v>
      </c>
      <c r="B14" s="2" t="s">
        <v>105</v>
      </c>
      <c r="C14" s="2" t="s">
        <v>16</v>
      </c>
      <c r="D14" s="3" t="s">
        <v>91</v>
      </c>
      <c r="E14" s="2" t="s">
        <v>106</v>
      </c>
      <c r="F14" s="2" t="s">
        <v>107</v>
      </c>
      <c r="G14" s="2" t="s">
        <v>108</v>
      </c>
      <c r="H14" s="2" t="s">
        <v>109</v>
      </c>
      <c r="I14" s="35" t="s">
        <v>384</v>
      </c>
      <c r="J14" s="13" t="s">
        <v>342</v>
      </c>
      <c r="K14" s="2" t="s">
        <v>22</v>
      </c>
      <c r="L14" s="13" t="s">
        <v>343</v>
      </c>
      <c r="M14" s="11">
        <v>46292</v>
      </c>
      <c r="N14" s="2" t="s">
        <v>110</v>
      </c>
    </row>
    <row r="15" spans="1:14" ht="45" customHeight="1" x14ac:dyDescent="0.3">
      <c r="A15" s="2" t="s">
        <v>111</v>
      </c>
      <c r="B15" s="2" t="s">
        <v>112</v>
      </c>
      <c r="C15" s="2" t="s">
        <v>42</v>
      </c>
      <c r="D15" s="3" t="s">
        <v>91</v>
      </c>
      <c r="E15" s="2" t="s">
        <v>50</v>
      </c>
      <c r="F15" s="2" t="s">
        <v>113</v>
      </c>
      <c r="G15" s="2" t="s">
        <v>114</v>
      </c>
      <c r="H15" s="2" t="s">
        <v>115</v>
      </c>
      <c r="I15" s="35" t="s">
        <v>385</v>
      </c>
      <c r="J15" s="13" t="s">
        <v>342</v>
      </c>
      <c r="K15" s="2" t="s">
        <v>22</v>
      </c>
      <c r="L15" s="13" t="s">
        <v>343</v>
      </c>
      <c r="M15" s="11">
        <v>46292</v>
      </c>
      <c r="N15" s="2" t="s">
        <v>116</v>
      </c>
    </row>
    <row r="16" spans="1:14" ht="33.75" customHeight="1" x14ac:dyDescent="0.3">
      <c r="A16" s="2" t="s">
        <v>117</v>
      </c>
      <c r="B16" s="2" t="s">
        <v>118</v>
      </c>
      <c r="C16" s="2" t="s">
        <v>16</v>
      </c>
      <c r="D16" s="3" t="s">
        <v>91</v>
      </c>
      <c r="E16" s="2" t="s">
        <v>119</v>
      </c>
      <c r="F16" s="2" t="s">
        <v>120</v>
      </c>
      <c r="G16" s="2" t="s">
        <v>121</v>
      </c>
      <c r="H16" s="2" t="s">
        <v>122</v>
      </c>
      <c r="I16" s="35" t="s">
        <v>385</v>
      </c>
      <c r="J16" s="13" t="s">
        <v>342</v>
      </c>
      <c r="K16" s="2" t="s">
        <v>22</v>
      </c>
      <c r="L16" s="13" t="s">
        <v>343</v>
      </c>
      <c r="M16" s="11">
        <v>46292</v>
      </c>
      <c r="N16" s="2" t="s">
        <v>123</v>
      </c>
    </row>
    <row r="17" spans="1:14" ht="45" customHeight="1" x14ac:dyDescent="0.3">
      <c r="A17" s="2" t="s">
        <v>124</v>
      </c>
      <c r="B17" s="2" t="s">
        <v>125</v>
      </c>
      <c r="C17" s="2" t="s">
        <v>27</v>
      </c>
      <c r="D17" s="3" t="s">
        <v>91</v>
      </c>
      <c r="E17" s="2" t="s">
        <v>126</v>
      </c>
      <c r="F17" s="2" t="s">
        <v>127</v>
      </c>
      <c r="G17" s="2" t="s">
        <v>128</v>
      </c>
      <c r="H17" s="2" t="s">
        <v>129</v>
      </c>
      <c r="I17" s="35" t="s">
        <v>452</v>
      </c>
      <c r="J17" s="13" t="s">
        <v>342</v>
      </c>
      <c r="K17" s="2" t="s">
        <v>22</v>
      </c>
      <c r="L17" s="13" t="s">
        <v>343</v>
      </c>
      <c r="M17" s="11">
        <v>46292</v>
      </c>
      <c r="N17" s="2" t="s">
        <v>130</v>
      </c>
    </row>
    <row r="18" spans="1:14" ht="33.75" customHeight="1" x14ac:dyDescent="0.3">
      <c r="A18" s="2" t="s">
        <v>131</v>
      </c>
      <c r="B18" s="2" t="s">
        <v>132</v>
      </c>
      <c r="C18" s="2" t="s">
        <v>16</v>
      </c>
      <c r="D18" s="3" t="s">
        <v>91</v>
      </c>
      <c r="E18" s="2" t="s">
        <v>133</v>
      </c>
      <c r="F18" s="2" t="s">
        <v>134</v>
      </c>
      <c r="G18" s="2" t="s">
        <v>135</v>
      </c>
      <c r="H18" s="2" t="s">
        <v>136</v>
      </c>
      <c r="I18" s="35" t="s">
        <v>385</v>
      </c>
      <c r="J18" s="13" t="s">
        <v>342</v>
      </c>
      <c r="K18" s="2" t="s">
        <v>22</v>
      </c>
      <c r="L18" s="13" t="s">
        <v>343</v>
      </c>
      <c r="M18" s="11">
        <v>46292</v>
      </c>
      <c r="N18" s="2" t="s">
        <v>137</v>
      </c>
    </row>
    <row r="19" spans="1:14" ht="45" customHeight="1" x14ac:dyDescent="0.3">
      <c r="A19" s="2" t="s">
        <v>138</v>
      </c>
      <c r="B19" s="2" t="s">
        <v>139</v>
      </c>
      <c r="C19" s="2" t="s">
        <v>42</v>
      </c>
      <c r="D19" s="3" t="s">
        <v>91</v>
      </c>
      <c r="E19" s="2" t="s">
        <v>140</v>
      </c>
      <c r="F19" s="2" t="s">
        <v>141</v>
      </c>
      <c r="G19" s="2" t="s">
        <v>142</v>
      </c>
      <c r="H19" s="2" t="s">
        <v>143</v>
      </c>
      <c r="I19" s="35" t="s">
        <v>385</v>
      </c>
      <c r="J19" s="13" t="s">
        <v>342</v>
      </c>
      <c r="K19" s="2" t="s">
        <v>22</v>
      </c>
      <c r="L19" s="13" t="s">
        <v>343</v>
      </c>
      <c r="M19" s="14">
        <v>46292</v>
      </c>
      <c r="N19" s="2" t="s">
        <v>144</v>
      </c>
    </row>
    <row r="20" spans="1:14" ht="45" customHeight="1" x14ac:dyDescent="0.3">
      <c r="A20" s="2" t="s">
        <v>145</v>
      </c>
      <c r="B20" s="2" t="s">
        <v>146</v>
      </c>
      <c r="C20" s="2" t="s">
        <v>16</v>
      </c>
      <c r="D20" s="3" t="s">
        <v>17</v>
      </c>
      <c r="E20" s="2" t="s">
        <v>147</v>
      </c>
      <c r="F20" s="2" t="s">
        <v>148</v>
      </c>
      <c r="G20" s="2" t="s">
        <v>149</v>
      </c>
      <c r="H20" s="2" t="s">
        <v>150</v>
      </c>
      <c r="I20" s="35" t="s">
        <v>385</v>
      </c>
      <c r="J20" s="13" t="s">
        <v>342</v>
      </c>
      <c r="K20" s="2" t="s">
        <v>22</v>
      </c>
      <c r="L20" s="13" t="s">
        <v>343</v>
      </c>
      <c r="M20" s="11">
        <v>46292</v>
      </c>
      <c r="N20" s="2" t="s">
        <v>151</v>
      </c>
    </row>
    <row r="21" spans="1:14" ht="45" customHeight="1" x14ac:dyDescent="0.3">
      <c r="A21" s="2" t="s">
        <v>152</v>
      </c>
      <c r="B21" s="2" t="s">
        <v>153</v>
      </c>
      <c r="C21" s="2" t="s">
        <v>154</v>
      </c>
      <c r="D21" s="3" t="s">
        <v>57</v>
      </c>
      <c r="E21" s="2" t="s">
        <v>155</v>
      </c>
      <c r="F21" s="2" t="s">
        <v>156</v>
      </c>
      <c r="G21" s="2" t="s">
        <v>157</v>
      </c>
      <c r="H21" s="2" t="s">
        <v>158</v>
      </c>
      <c r="I21" s="36" t="s">
        <v>159</v>
      </c>
      <c r="J21" s="13" t="s">
        <v>342</v>
      </c>
      <c r="K21" s="2" t="s">
        <v>22</v>
      </c>
      <c r="L21" s="13" t="s">
        <v>343</v>
      </c>
      <c r="M21" s="12">
        <v>46292</v>
      </c>
      <c r="N21" s="2" t="s">
        <v>160</v>
      </c>
    </row>
    <row r="22" spans="1:14" ht="45" customHeight="1" x14ac:dyDescent="0.3">
      <c r="A22" s="2" t="s">
        <v>161</v>
      </c>
      <c r="B22" s="2" t="s">
        <v>162</v>
      </c>
      <c r="C22" s="2" t="s">
        <v>16</v>
      </c>
      <c r="D22" s="3" t="s">
        <v>57</v>
      </c>
      <c r="E22" s="2" t="s">
        <v>163</v>
      </c>
      <c r="F22" s="2" t="s">
        <v>164</v>
      </c>
      <c r="G22" s="2" t="s">
        <v>165</v>
      </c>
      <c r="H22" s="2" t="s">
        <v>166</v>
      </c>
      <c r="I22" s="35" t="s">
        <v>385</v>
      </c>
      <c r="J22" s="13" t="s">
        <v>342</v>
      </c>
      <c r="K22" s="2" t="s">
        <v>22</v>
      </c>
      <c r="L22" s="13" t="s">
        <v>343</v>
      </c>
      <c r="M22" s="11">
        <v>46293</v>
      </c>
      <c r="N22" s="2" t="s">
        <v>167</v>
      </c>
    </row>
    <row r="23" spans="1:14" ht="45" customHeight="1" x14ac:dyDescent="0.3">
      <c r="A23" s="2" t="s">
        <v>168</v>
      </c>
      <c r="B23" s="2" t="s">
        <v>169</v>
      </c>
      <c r="C23" s="2" t="s">
        <v>42</v>
      </c>
      <c r="D23" s="3" t="s">
        <v>57</v>
      </c>
      <c r="E23" s="2" t="s">
        <v>170</v>
      </c>
      <c r="F23" s="2" t="s">
        <v>171</v>
      </c>
      <c r="G23" s="2" t="s">
        <v>172</v>
      </c>
      <c r="H23" s="2" t="s">
        <v>173</v>
      </c>
      <c r="I23" s="35" t="s">
        <v>385</v>
      </c>
      <c r="J23" s="13" t="s">
        <v>342</v>
      </c>
      <c r="K23" s="2" t="s">
        <v>22</v>
      </c>
      <c r="L23" s="13" t="s">
        <v>343</v>
      </c>
      <c r="M23" s="12">
        <v>46293</v>
      </c>
      <c r="N23" s="2" t="s">
        <v>174</v>
      </c>
    </row>
    <row r="24" spans="1:14" ht="33.75" customHeight="1" x14ac:dyDescent="0.3">
      <c r="A24" s="2" t="s">
        <v>175</v>
      </c>
      <c r="B24" s="2" t="s">
        <v>176</v>
      </c>
      <c r="C24" s="2" t="s">
        <v>16</v>
      </c>
      <c r="D24" s="3" t="s">
        <v>57</v>
      </c>
      <c r="E24" s="2" t="s">
        <v>170</v>
      </c>
      <c r="F24" s="2" t="s">
        <v>177</v>
      </c>
      <c r="G24" s="2" t="s">
        <v>178</v>
      </c>
      <c r="H24" s="2" t="s">
        <v>179</v>
      </c>
      <c r="I24" s="35" t="s">
        <v>451</v>
      </c>
      <c r="J24" s="13" t="s">
        <v>342</v>
      </c>
      <c r="K24" s="2" t="s">
        <v>22</v>
      </c>
      <c r="L24" s="13" t="s">
        <v>343</v>
      </c>
      <c r="M24" s="11">
        <v>46293</v>
      </c>
      <c r="N24" s="2" t="s">
        <v>180</v>
      </c>
    </row>
    <row r="25" spans="1:14" ht="45" customHeight="1" x14ac:dyDescent="0.3">
      <c r="A25" s="2" t="s">
        <v>181</v>
      </c>
      <c r="B25" s="2" t="s">
        <v>182</v>
      </c>
      <c r="C25" s="2" t="s">
        <v>16</v>
      </c>
      <c r="D25" s="3" t="s">
        <v>91</v>
      </c>
      <c r="E25" s="2" t="s">
        <v>183</v>
      </c>
      <c r="F25" s="2" t="s">
        <v>184</v>
      </c>
      <c r="G25" s="2" t="s">
        <v>185</v>
      </c>
      <c r="H25" s="2" t="s">
        <v>186</v>
      </c>
      <c r="I25" s="35" t="s">
        <v>451</v>
      </c>
      <c r="J25" s="13" t="s">
        <v>342</v>
      </c>
      <c r="K25" s="2" t="s">
        <v>22</v>
      </c>
      <c r="L25" s="13" t="s">
        <v>343</v>
      </c>
      <c r="M25" s="11">
        <v>46293</v>
      </c>
      <c r="N25" s="2" t="s">
        <v>187</v>
      </c>
    </row>
    <row r="26" spans="1:14" ht="45" customHeight="1" x14ac:dyDescent="0.3">
      <c r="A26" s="2" t="s">
        <v>188</v>
      </c>
      <c r="B26" s="2" t="s">
        <v>189</v>
      </c>
      <c r="C26" s="2" t="s">
        <v>42</v>
      </c>
      <c r="D26" s="3" t="s">
        <v>57</v>
      </c>
      <c r="E26" s="2" t="s">
        <v>163</v>
      </c>
      <c r="F26" s="2" t="s">
        <v>190</v>
      </c>
      <c r="G26" s="2" t="s">
        <v>191</v>
      </c>
      <c r="H26" s="2" t="s">
        <v>192</v>
      </c>
      <c r="I26" s="35" t="s">
        <v>451</v>
      </c>
      <c r="J26" s="13" t="s">
        <v>342</v>
      </c>
      <c r="K26" s="2" t="s">
        <v>22</v>
      </c>
      <c r="L26" s="13" t="s">
        <v>343</v>
      </c>
      <c r="M26" s="11">
        <v>46293</v>
      </c>
      <c r="N26" s="2" t="s">
        <v>193</v>
      </c>
    </row>
    <row r="27" spans="1:14" ht="100.8" x14ac:dyDescent="0.3">
      <c r="A27" s="2" t="s">
        <v>194</v>
      </c>
      <c r="B27" s="2" t="s">
        <v>195</v>
      </c>
      <c r="C27" s="2" t="s">
        <v>27</v>
      </c>
      <c r="D27" s="3" t="s">
        <v>91</v>
      </c>
      <c r="E27" s="2" t="s">
        <v>126</v>
      </c>
      <c r="F27" s="2" t="s">
        <v>196</v>
      </c>
      <c r="G27" s="2" t="s">
        <v>197</v>
      </c>
      <c r="H27" s="2" t="s">
        <v>198</v>
      </c>
      <c r="I27" s="35" t="s">
        <v>451</v>
      </c>
      <c r="J27" s="13" t="s">
        <v>342</v>
      </c>
      <c r="K27" s="2" t="s">
        <v>22</v>
      </c>
      <c r="L27" s="13" t="s">
        <v>343</v>
      </c>
      <c r="M27" s="11">
        <v>46293</v>
      </c>
      <c r="N27" s="2" t="s">
        <v>199</v>
      </c>
    </row>
    <row r="28" spans="1:14" ht="100.8" x14ac:dyDescent="0.3">
      <c r="A28" s="2" t="s">
        <v>200</v>
      </c>
      <c r="B28" s="2" t="s">
        <v>201</v>
      </c>
      <c r="C28" s="2" t="s">
        <v>42</v>
      </c>
      <c r="D28" s="3" t="s">
        <v>91</v>
      </c>
      <c r="E28" s="2" t="s">
        <v>126</v>
      </c>
      <c r="F28" s="2" t="s">
        <v>202</v>
      </c>
      <c r="G28" s="2" t="s">
        <v>203</v>
      </c>
      <c r="H28" s="2" t="s">
        <v>204</v>
      </c>
      <c r="I28" s="35" t="s">
        <v>451</v>
      </c>
      <c r="J28" s="13" t="s">
        <v>342</v>
      </c>
      <c r="K28" s="2" t="s">
        <v>22</v>
      </c>
      <c r="L28" s="13" t="s">
        <v>343</v>
      </c>
      <c r="M28" s="11">
        <v>46293</v>
      </c>
      <c r="N28" s="2" t="s">
        <v>205</v>
      </c>
    </row>
    <row r="29" spans="1:14" ht="100.8" x14ac:dyDescent="0.3">
      <c r="A29" s="2" t="s">
        <v>206</v>
      </c>
      <c r="B29" s="2" t="s">
        <v>207</v>
      </c>
      <c r="C29" s="2" t="s">
        <v>27</v>
      </c>
      <c r="D29" s="3" t="s">
        <v>91</v>
      </c>
      <c r="E29" s="2" t="s">
        <v>126</v>
      </c>
      <c r="F29" s="2" t="s">
        <v>208</v>
      </c>
      <c r="G29" s="2" t="s">
        <v>209</v>
      </c>
      <c r="H29" s="2" t="s">
        <v>210</v>
      </c>
      <c r="I29" s="35" t="s">
        <v>451</v>
      </c>
      <c r="J29" s="13" t="s">
        <v>342</v>
      </c>
      <c r="K29" s="2" t="s">
        <v>22</v>
      </c>
      <c r="L29" s="13" t="s">
        <v>343</v>
      </c>
      <c r="M29" s="11">
        <v>46293</v>
      </c>
      <c r="N29" s="2" t="s">
        <v>211</v>
      </c>
    </row>
    <row r="30" spans="1:14" ht="100.8" x14ac:dyDescent="0.3">
      <c r="A30" s="2" t="s">
        <v>212</v>
      </c>
      <c r="B30" s="2" t="s">
        <v>213</v>
      </c>
      <c r="C30" s="2" t="s">
        <v>16</v>
      </c>
      <c r="D30" s="3" t="s">
        <v>57</v>
      </c>
      <c r="E30" s="2" t="s">
        <v>214</v>
      </c>
      <c r="F30" s="2" t="s">
        <v>215</v>
      </c>
      <c r="G30" s="2" t="s">
        <v>216</v>
      </c>
      <c r="H30" s="2" t="s">
        <v>217</v>
      </c>
      <c r="I30" s="35" t="s">
        <v>451</v>
      </c>
      <c r="J30" s="13" t="s">
        <v>342</v>
      </c>
      <c r="K30" s="2" t="s">
        <v>22</v>
      </c>
      <c r="L30" s="13" t="s">
        <v>343</v>
      </c>
      <c r="M30" s="11">
        <v>46293</v>
      </c>
      <c r="N30" s="2" t="s">
        <v>218</v>
      </c>
    </row>
    <row r="31" spans="1:14" ht="100.8" x14ac:dyDescent="0.3">
      <c r="A31" s="2" t="s">
        <v>219</v>
      </c>
      <c r="B31" s="2" t="s">
        <v>220</v>
      </c>
      <c r="C31" s="2" t="s">
        <v>16</v>
      </c>
      <c r="D31" s="3" t="s">
        <v>57</v>
      </c>
      <c r="E31" s="2" t="s">
        <v>221</v>
      </c>
      <c r="F31" s="2" t="s">
        <v>222</v>
      </c>
      <c r="G31" s="2" t="s">
        <v>223</v>
      </c>
      <c r="H31" s="2" t="s">
        <v>224</v>
      </c>
      <c r="I31" s="35" t="s">
        <v>451</v>
      </c>
      <c r="J31" s="13" t="s">
        <v>342</v>
      </c>
      <c r="K31" s="2" t="s">
        <v>22</v>
      </c>
      <c r="L31" s="13" t="s">
        <v>343</v>
      </c>
      <c r="M31" s="11">
        <v>46293</v>
      </c>
      <c r="N31" s="2" t="s">
        <v>225</v>
      </c>
    </row>
    <row r="32" spans="1:14" ht="100.8" x14ac:dyDescent="0.3">
      <c r="A32" s="2" t="s">
        <v>226</v>
      </c>
      <c r="B32" s="2" t="s">
        <v>227</v>
      </c>
      <c r="C32" s="2" t="s">
        <v>16</v>
      </c>
      <c r="D32" s="3" t="s">
        <v>57</v>
      </c>
      <c r="E32" s="2" t="s">
        <v>228</v>
      </c>
      <c r="F32" s="2" t="s">
        <v>229</v>
      </c>
      <c r="G32" s="2" t="s">
        <v>230</v>
      </c>
      <c r="H32" s="2" t="s">
        <v>231</v>
      </c>
      <c r="I32" s="35" t="s">
        <v>385</v>
      </c>
      <c r="J32" s="13" t="s">
        <v>342</v>
      </c>
      <c r="K32" s="2" t="s">
        <v>22</v>
      </c>
      <c r="L32" s="13" t="s">
        <v>343</v>
      </c>
      <c r="M32" s="11">
        <v>46293</v>
      </c>
      <c r="N32" s="2" t="s">
        <v>232</v>
      </c>
    </row>
    <row r="33" spans="1:14" ht="100.8" x14ac:dyDescent="0.3">
      <c r="A33" s="2" t="s">
        <v>233</v>
      </c>
      <c r="B33" s="2" t="s">
        <v>234</v>
      </c>
      <c r="C33" s="2" t="s">
        <v>235</v>
      </c>
      <c r="D33" s="3" t="s">
        <v>57</v>
      </c>
      <c r="E33" s="2" t="s">
        <v>236</v>
      </c>
      <c r="F33" s="2" t="s">
        <v>237</v>
      </c>
      <c r="G33" s="2" t="s">
        <v>238</v>
      </c>
      <c r="H33" s="2" t="s">
        <v>239</v>
      </c>
      <c r="I33" s="35" t="s">
        <v>451</v>
      </c>
      <c r="J33" s="13" t="s">
        <v>342</v>
      </c>
      <c r="K33" s="2" t="s">
        <v>22</v>
      </c>
      <c r="L33" s="13" t="s">
        <v>343</v>
      </c>
      <c r="M33" s="11">
        <v>46293</v>
      </c>
      <c r="N33" s="2" t="s">
        <v>240</v>
      </c>
    </row>
    <row r="34" spans="1:14" ht="100.8" x14ac:dyDescent="0.3">
      <c r="A34" s="2" t="s">
        <v>241</v>
      </c>
      <c r="B34" s="2" t="s">
        <v>242</v>
      </c>
      <c r="C34" s="2" t="s">
        <v>235</v>
      </c>
      <c r="D34" s="3" t="s">
        <v>91</v>
      </c>
      <c r="E34" s="2" t="s">
        <v>35</v>
      </c>
      <c r="F34" s="2" t="s">
        <v>243</v>
      </c>
      <c r="G34" s="2" t="s">
        <v>244</v>
      </c>
      <c r="H34" s="2" t="s">
        <v>245</v>
      </c>
      <c r="I34" s="35" t="s">
        <v>451</v>
      </c>
      <c r="J34" s="13" t="s">
        <v>342</v>
      </c>
      <c r="K34" s="2" t="s">
        <v>22</v>
      </c>
      <c r="L34" s="13" t="s">
        <v>343</v>
      </c>
      <c r="M34" s="11">
        <v>46293</v>
      </c>
      <c r="N34" s="2" t="s">
        <v>246</v>
      </c>
    </row>
    <row r="35" spans="1:14" ht="100.8" x14ac:dyDescent="0.3">
      <c r="A35" s="2" t="s">
        <v>247</v>
      </c>
      <c r="B35" s="2" t="s">
        <v>248</v>
      </c>
      <c r="C35" s="2" t="s">
        <v>235</v>
      </c>
      <c r="D35" s="3" t="s">
        <v>91</v>
      </c>
      <c r="E35" s="2" t="s">
        <v>78</v>
      </c>
      <c r="F35" s="2" t="s">
        <v>249</v>
      </c>
      <c r="G35" s="2" t="s">
        <v>250</v>
      </c>
      <c r="H35" s="2" t="s">
        <v>251</v>
      </c>
      <c r="I35" s="35" t="s">
        <v>451</v>
      </c>
      <c r="J35" s="13" t="s">
        <v>342</v>
      </c>
      <c r="K35" s="2" t="s">
        <v>22</v>
      </c>
      <c r="L35" s="13" t="s">
        <v>343</v>
      </c>
      <c r="M35" s="11">
        <v>46293</v>
      </c>
      <c r="N35" s="2" t="s">
        <v>252</v>
      </c>
    </row>
    <row r="36" spans="1:14" ht="100.8" x14ac:dyDescent="0.3">
      <c r="A36" s="2" t="s">
        <v>253</v>
      </c>
      <c r="B36" s="2" t="s">
        <v>254</v>
      </c>
      <c r="C36" s="2" t="s">
        <v>235</v>
      </c>
      <c r="D36" s="3" t="s">
        <v>91</v>
      </c>
      <c r="E36" s="2" t="s">
        <v>228</v>
      </c>
      <c r="F36" s="2" t="s">
        <v>255</v>
      </c>
      <c r="G36" s="2" t="s">
        <v>256</v>
      </c>
      <c r="H36" s="2" t="s">
        <v>257</v>
      </c>
      <c r="I36" s="35" t="s">
        <v>451</v>
      </c>
      <c r="J36" s="13" t="s">
        <v>342</v>
      </c>
      <c r="K36" s="2" t="s">
        <v>22</v>
      </c>
      <c r="L36" s="13" t="s">
        <v>343</v>
      </c>
      <c r="M36" s="11">
        <v>46293</v>
      </c>
      <c r="N36" s="2" t="s">
        <v>258</v>
      </c>
    </row>
    <row r="37" spans="1:14" ht="100.8" x14ac:dyDescent="0.3">
      <c r="A37" s="2" t="s">
        <v>259</v>
      </c>
      <c r="B37" s="2" t="s">
        <v>260</v>
      </c>
      <c r="C37" s="2" t="s">
        <v>235</v>
      </c>
      <c r="D37" s="3"/>
      <c r="E37" s="2" t="s">
        <v>261</v>
      </c>
      <c r="F37" s="2" t="s">
        <v>262</v>
      </c>
      <c r="G37" s="2" t="s">
        <v>263</v>
      </c>
      <c r="H37" s="2" t="s">
        <v>264</v>
      </c>
      <c r="I37" s="35" t="s">
        <v>385</v>
      </c>
      <c r="J37" s="13" t="s">
        <v>342</v>
      </c>
      <c r="K37" s="2" t="s">
        <v>22</v>
      </c>
      <c r="L37" s="13" t="s">
        <v>343</v>
      </c>
      <c r="M37" s="11">
        <v>46293</v>
      </c>
      <c r="N37" s="2" t="s">
        <v>265</v>
      </c>
    </row>
    <row r="38" spans="1:14" ht="115.2" x14ac:dyDescent="0.3">
      <c r="A38" s="2" t="s">
        <v>266</v>
      </c>
      <c r="B38" s="2" t="s">
        <v>267</v>
      </c>
      <c r="C38" s="2" t="s">
        <v>235</v>
      </c>
      <c r="D38" s="3" t="s">
        <v>91</v>
      </c>
      <c r="E38" s="2" t="s">
        <v>43</v>
      </c>
      <c r="F38" s="2" t="s">
        <v>268</v>
      </c>
      <c r="G38" s="2" t="s">
        <v>269</v>
      </c>
      <c r="H38" s="2" t="s">
        <v>270</v>
      </c>
      <c r="I38" s="35" t="s">
        <v>450</v>
      </c>
      <c r="J38" s="13" t="s">
        <v>342</v>
      </c>
      <c r="K38" s="2" t="s">
        <v>22</v>
      </c>
      <c r="L38" s="13" t="s">
        <v>343</v>
      </c>
      <c r="M38" s="11">
        <v>46293</v>
      </c>
      <c r="N38" s="2" t="s">
        <v>271</v>
      </c>
    </row>
    <row r="39" spans="1:14" ht="115.2" x14ac:dyDescent="0.3">
      <c r="A39" s="2" t="s">
        <v>272</v>
      </c>
      <c r="B39" s="2" t="s">
        <v>273</v>
      </c>
      <c r="C39" s="2" t="s">
        <v>235</v>
      </c>
      <c r="D39" s="3" t="s">
        <v>91</v>
      </c>
      <c r="E39" s="2" t="s">
        <v>274</v>
      </c>
      <c r="F39" s="2" t="s">
        <v>275</v>
      </c>
      <c r="G39" s="2" t="s">
        <v>276</v>
      </c>
      <c r="H39" s="2" t="s">
        <v>277</v>
      </c>
      <c r="I39" s="35" t="s">
        <v>450</v>
      </c>
      <c r="J39" s="13" t="s">
        <v>342</v>
      </c>
      <c r="K39" s="2" t="s">
        <v>22</v>
      </c>
      <c r="L39" s="13" t="s">
        <v>343</v>
      </c>
      <c r="M39" s="11">
        <v>46293</v>
      </c>
      <c r="N39" s="2" t="s">
        <v>278</v>
      </c>
    </row>
    <row r="40" spans="1:14" ht="115.2" x14ac:dyDescent="0.3">
      <c r="A40" s="2" t="s">
        <v>279</v>
      </c>
      <c r="B40" s="2" t="s">
        <v>280</v>
      </c>
      <c r="C40" s="2" t="s">
        <v>16</v>
      </c>
      <c r="D40" s="3" t="s">
        <v>91</v>
      </c>
      <c r="E40" s="2" t="s">
        <v>281</v>
      </c>
      <c r="F40" s="2" t="s">
        <v>282</v>
      </c>
      <c r="G40" s="2" t="s">
        <v>283</v>
      </c>
      <c r="H40" s="2" t="s">
        <v>284</v>
      </c>
      <c r="I40" s="35" t="s">
        <v>450</v>
      </c>
      <c r="J40" s="13" t="s">
        <v>342</v>
      </c>
      <c r="K40" s="2" t="s">
        <v>22</v>
      </c>
      <c r="L40" s="13" t="s">
        <v>343</v>
      </c>
      <c r="M40" s="11">
        <v>46293</v>
      </c>
      <c r="N40" s="2" t="s">
        <v>285</v>
      </c>
    </row>
    <row r="41" spans="1:14" ht="115.2" x14ac:dyDescent="0.3">
      <c r="A41" s="2" t="s">
        <v>286</v>
      </c>
      <c r="B41" s="2" t="s">
        <v>287</v>
      </c>
      <c r="C41" s="2" t="s">
        <v>235</v>
      </c>
      <c r="D41" s="3" t="s">
        <v>91</v>
      </c>
      <c r="E41" s="2" t="s">
        <v>170</v>
      </c>
      <c r="F41" s="2" t="s">
        <v>288</v>
      </c>
      <c r="G41" s="2" t="s">
        <v>289</v>
      </c>
      <c r="H41" s="2" t="s">
        <v>290</v>
      </c>
      <c r="I41" s="35" t="s">
        <v>450</v>
      </c>
      <c r="J41" s="13" t="s">
        <v>342</v>
      </c>
      <c r="K41" s="2" t="s">
        <v>22</v>
      </c>
      <c r="L41" s="13" t="s">
        <v>343</v>
      </c>
      <c r="M41" s="11">
        <v>46294</v>
      </c>
      <c r="N41" s="2" t="s">
        <v>291</v>
      </c>
    </row>
    <row r="42" spans="1:14" ht="115.2" x14ac:dyDescent="0.3">
      <c r="A42" s="2" t="s">
        <v>292</v>
      </c>
      <c r="B42" s="2" t="s">
        <v>293</v>
      </c>
      <c r="C42" s="2" t="s">
        <v>235</v>
      </c>
      <c r="D42" s="3" t="s">
        <v>91</v>
      </c>
      <c r="E42" s="2" t="s">
        <v>163</v>
      </c>
      <c r="F42" s="2" t="s">
        <v>294</v>
      </c>
      <c r="G42" s="2" t="s">
        <v>295</v>
      </c>
      <c r="H42" s="2" t="s">
        <v>296</v>
      </c>
      <c r="I42" s="35" t="s">
        <v>450</v>
      </c>
      <c r="J42" s="13" t="s">
        <v>342</v>
      </c>
      <c r="K42" s="2" t="s">
        <v>22</v>
      </c>
      <c r="L42" s="13" t="s">
        <v>343</v>
      </c>
      <c r="M42" s="11">
        <v>46294</v>
      </c>
      <c r="N42" s="2" t="s">
        <v>297</v>
      </c>
    </row>
    <row r="43" spans="1:14" ht="115.2" x14ac:dyDescent="0.3">
      <c r="A43" s="2" t="s">
        <v>298</v>
      </c>
      <c r="B43" s="2" t="s">
        <v>299</v>
      </c>
      <c r="C43" s="2" t="s">
        <v>235</v>
      </c>
      <c r="D43" s="3" t="s">
        <v>91</v>
      </c>
      <c r="E43" s="2" t="s">
        <v>163</v>
      </c>
      <c r="F43" s="2" t="s">
        <v>300</v>
      </c>
      <c r="G43" s="2" t="s">
        <v>301</v>
      </c>
      <c r="H43" s="2" t="s">
        <v>302</v>
      </c>
      <c r="I43" s="35" t="s">
        <v>450</v>
      </c>
      <c r="J43" s="13" t="s">
        <v>342</v>
      </c>
      <c r="K43" s="2" t="s">
        <v>22</v>
      </c>
      <c r="L43" s="13" t="s">
        <v>343</v>
      </c>
      <c r="M43" s="11">
        <v>46294</v>
      </c>
      <c r="N43" s="2" t="s">
        <v>303</v>
      </c>
    </row>
    <row r="44" spans="1:14" ht="100.8" x14ac:dyDescent="0.3">
      <c r="A44" s="2" t="s">
        <v>304</v>
      </c>
      <c r="B44" s="2" t="s">
        <v>305</v>
      </c>
      <c r="C44" s="2" t="s">
        <v>27</v>
      </c>
      <c r="D44" s="3" t="s">
        <v>91</v>
      </c>
      <c r="E44" s="2" t="s">
        <v>106</v>
      </c>
      <c r="F44" s="22" t="s">
        <v>306</v>
      </c>
      <c r="G44" s="2" t="s">
        <v>307</v>
      </c>
      <c r="H44" s="2" t="s">
        <v>308</v>
      </c>
      <c r="I44" s="35" t="s">
        <v>383</v>
      </c>
      <c r="J44" s="13" t="s">
        <v>342</v>
      </c>
      <c r="K44" s="2" t="s">
        <v>22</v>
      </c>
      <c r="L44" s="13" t="s">
        <v>343</v>
      </c>
      <c r="M44" s="11">
        <v>46294</v>
      </c>
      <c r="N44" s="2" t="s">
        <v>309</v>
      </c>
    </row>
    <row r="45" spans="1:14" ht="115.2" x14ac:dyDescent="0.3">
      <c r="A45" s="16" t="s">
        <v>341</v>
      </c>
      <c r="B45" s="23" t="s">
        <v>359</v>
      </c>
      <c r="C45" s="17" t="s">
        <v>360</v>
      </c>
      <c r="D45" s="18" t="s">
        <v>57</v>
      </c>
      <c r="E45" s="17" t="s">
        <v>361</v>
      </c>
      <c r="F45" s="26" t="s">
        <v>362</v>
      </c>
      <c r="G45" s="23" t="s">
        <v>363</v>
      </c>
      <c r="H45" s="25" t="s">
        <v>364</v>
      </c>
      <c r="I45" s="51" t="s">
        <v>386</v>
      </c>
      <c r="J45" s="19" t="s">
        <v>342</v>
      </c>
      <c r="K45" s="17" t="s">
        <v>22</v>
      </c>
      <c r="L45" s="20" t="s">
        <v>365</v>
      </c>
      <c r="M45" s="21">
        <v>46294</v>
      </c>
      <c r="N45" s="19" t="s">
        <v>366</v>
      </c>
    </row>
    <row r="46" spans="1:14" ht="115.2" x14ac:dyDescent="0.3">
      <c r="A46" s="17" t="s">
        <v>453</v>
      </c>
      <c r="B46" s="27" t="s">
        <v>367</v>
      </c>
      <c r="C46" s="19" t="s">
        <v>368</v>
      </c>
      <c r="D46" s="24" t="s">
        <v>369</v>
      </c>
      <c r="E46" s="25" t="s">
        <v>370</v>
      </c>
      <c r="F46" s="26" t="s">
        <v>371</v>
      </c>
      <c r="G46" s="25" t="s">
        <v>372</v>
      </c>
      <c r="H46" s="25" t="s">
        <v>367</v>
      </c>
      <c r="I46" s="50" t="s">
        <v>450</v>
      </c>
      <c r="J46" s="19" t="s">
        <v>342</v>
      </c>
      <c r="K46" s="28" t="s">
        <v>373</v>
      </c>
      <c r="L46" s="29" t="s">
        <v>343</v>
      </c>
      <c r="M46" s="30">
        <v>46294</v>
      </c>
      <c r="N46" s="31" t="s">
        <v>374</v>
      </c>
    </row>
    <row r="47" spans="1:14" ht="115.2" x14ac:dyDescent="0.3">
      <c r="A47" s="17" t="s">
        <v>344</v>
      </c>
      <c r="B47" s="25" t="s">
        <v>375</v>
      </c>
      <c r="C47" s="32" t="s">
        <v>3</v>
      </c>
      <c r="D47" s="24" t="s">
        <v>17</v>
      </c>
      <c r="E47" s="25" t="s">
        <v>376</v>
      </c>
      <c r="F47" s="25" t="s">
        <v>377</v>
      </c>
      <c r="G47" s="26" t="s">
        <v>372</v>
      </c>
      <c r="H47" s="33" t="s">
        <v>378</v>
      </c>
      <c r="I47" s="49" t="s">
        <v>450</v>
      </c>
      <c r="J47" s="33" t="s">
        <v>342</v>
      </c>
      <c r="K47" s="28" t="s">
        <v>379</v>
      </c>
      <c r="L47" s="34" t="s">
        <v>343</v>
      </c>
      <c r="M47" s="30">
        <v>46294</v>
      </c>
      <c r="N47" s="33" t="s">
        <v>380</v>
      </c>
    </row>
    <row r="48" spans="1:14" ht="115.2" x14ac:dyDescent="0.3">
      <c r="A48" s="17" t="s">
        <v>345</v>
      </c>
      <c r="B48" s="19" t="s">
        <v>387</v>
      </c>
      <c r="C48" s="19" t="s">
        <v>388</v>
      </c>
      <c r="D48" s="18" t="s">
        <v>313</v>
      </c>
      <c r="E48" s="17" t="s">
        <v>438</v>
      </c>
      <c r="F48" s="19" t="s">
        <v>446</v>
      </c>
      <c r="G48" s="17" t="s">
        <v>406</v>
      </c>
      <c r="H48" s="17" t="s">
        <v>421</v>
      </c>
      <c r="I48" s="49" t="s">
        <v>450</v>
      </c>
      <c r="J48" s="19" t="s">
        <v>342</v>
      </c>
      <c r="K48" s="34" t="s">
        <v>379</v>
      </c>
      <c r="L48" s="17" t="s">
        <v>343</v>
      </c>
      <c r="M48" s="30">
        <v>46294</v>
      </c>
      <c r="N48" s="19" t="s">
        <v>435</v>
      </c>
    </row>
    <row r="49" spans="1:14" ht="115.2" x14ac:dyDescent="0.3">
      <c r="A49" s="17" t="s">
        <v>346</v>
      </c>
      <c r="B49" s="17" t="s">
        <v>397</v>
      </c>
      <c r="C49" s="17" t="s">
        <v>389</v>
      </c>
      <c r="D49" s="24" t="s">
        <v>313</v>
      </c>
      <c r="E49" s="17" t="s">
        <v>439</v>
      </c>
      <c r="F49" s="19" t="s">
        <v>446</v>
      </c>
      <c r="G49" s="39" t="s">
        <v>407</v>
      </c>
      <c r="H49" s="17" t="s">
        <v>422</v>
      </c>
      <c r="I49" s="49" t="s">
        <v>450</v>
      </c>
      <c r="J49" s="19" t="s">
        <v>342</v>
      </c>
      <c r="K49" s="34" t="s">
        <v>379</v>
      </c>
      <c r="L49" s="17" t="s">
        <v>436</v>
      </c>
      <c r="M49" s="30">
        <v>46294</v>
      </c>
      <c r="N49" s="19" t="s">
        <v>434</v>
      </c>
    </row>
    <row r="50" spans="1:14" ht="115.2" x14ac:dyDescent="0.3">
      <c r="A50" s="17" t="s">
        <v>358</v>
      </c>
      <c r="B50" s="45" t="s">
        <v>398</v>
      </c>
      <c r="C50" s="17" t="s">
        <v>390</v>
      </c>
      <c r="D50" s="24" t="s">
        <v>17</v>
      </c>
      <c r="E50" s="17" t="s">
        <v>440</v>
      </c>
      <c r="F50" s="19" t="s">
        <v>446</v>
      </c>
      <c r="G50" s="19" t="s">
        <v>408</v>
      </c>
      <c r="H50" s="17" t="s">
        <v>423</v>
      </c>
      <c r="I50" s="49" t="s">
        <v>450</v>
      </c>
      <c r="J50" s="19" t="s">
        <v>342</v>
      </c>
      <c r="K50" s="34" t="s">
        <v>379</v>
      </c>
      <c r="L50" s="17" t="s">
        <v>343</v>
      </c>
      <c r="M50" s="30">
        <v>46294</v>
      </c>
      <c r="N50" s="19" t="s">
        <v>433</v>
      </c>
    </row>
    <row r="51" spans="1:14" ht="115.2" x14ac:dyDescent="0.3">
      <c r="A51" s="17" t="s">
        <v>357</v>
      </c>
      <c r="B51" s="45" t="s">
        <v>399</v>
      </c>
      <c r="C51" s="17" t="s">
        <v>391</v>
      </c>
      <c r="D51" s="24" t="s">
        <v>17</v>
      </c>
      <c r="E51" s="17" t="s">
        <v>441</v>
      </c>
      <c r="F51" s="19" t="s">
        <v>446</v>
      </c>
      <c r="G51" s="19" t="s">
        <v>409</v>
      </c>
      <c r="H51" s="19" t="s">
        <v>424</v>
      </c>
      <c r="I51" s="49" t="s">
        <v>450</v>
      </c>
      <c r="J51" s="19" t="s">
        <v>342</v>
      </c>
      <c r="K51" s="34" t="s">
        <v>379</v>
      </c>
      <c r="L51" s="17" t="s">
        <v>365</v>
      </c>
      <c r="M51" s="30">
        <v>46294</v>
      </c>
      <c r="N51" s="19" t="s">
        <v>432</v>
      </c>
    </row>
    <row r="52" spans="1:14" ht="115.2" x14ac:dyDescent="0.3">
      <c r="A52" s="17" t="s">
        <v>356</v>
      </c>
      <c r="B52" s="45" t="s">
        <v>400</v>
      </c>
      <c r="C52" s="17" t="s">
        <v>392</v>
      </c>
      <c r="D52" s="24" t="s">
        <v>17</v>
      </c>
      <c r="E52" s="17" t="s">
        <v>442</v>
      </c>
      <c r="F52" s="19" t="s">
        <v>446</v>
      </c>
      <c r="G52" s="17" t="s">
        <v>410</v>
      </c>
      <c r="H52" s="19" t="s">
        <v>425</v>
      </c>
      <c r="I52" s="49" t="s">
        <v>450</v>
      </c>
      <c r="J52" s="19" t="s">
        <v>342</v>
      </c>
      <c r="K52" s="34" t="s">
        <v>379</v>
      </c>
      <c r="L52" s="17" t="s">
        <v>437</v>
      </c>
      <c r="M52" s="30">
        <v>46294</v>
      </c>
      <c r="N52" s="19" t="s">
        <v>431</v>
      </c>
    </row>
    <row r="53" spans="1:14" ht="115.2" x14ac:dyDescent="0.3">
      <c r="A53" s="17" t="s">
        <v>355</v>
      </c>
      <c r="B53" s="45" t="s">
        <v>401</v>
      </c>
      <c r="C53" s="37" t="s">
        <v>393</v>
      </c>
      <c r="D53" s="24" t="s">
        <v>57</v>
      </c>
      <c r="E53" s="17" t="s">
        <v>393</v>
      </c>
      <c r="F53" s="19" t="s">
        <v>446</v>
      </c>
      <c r="G53" s="17" t="s">
        <v>411</v>
      </c>
      <c r="H53" s="42" t="s">
        <v>420</v>
      </c>
      <c r="I53" s="49" t="s">
        <v>450</v>
      </c>
      <c r="J53" s="19" t="s">
        <v>342</v>
      </c>
      <c r="K53" s="34" t="s">
        <v>379</v>
      </c>
      <c r="L53" s="17" t="s">
        <v>343</v>
      </c>
      <c r="M53" s="15">
        <v>46294</v>
      </c>
      <c r="N53" s="17" t="s">
        <v>430</v>
      </c>
    </row>
    <row r="54" spans="1:14" ht="115.2" x14ac:dyDescent="0.3">
      <c r="A54" s="17" t="s">
        <v>354</v>
      </c>
      <c r="B54" s="45" t="s">
        <v>402</v>
      </c>
      <c r="C54" t="s">
        <v>393</v>
      </c>
      <c r="D54" s="24" t="s">
        <v>57</v>
      </c>
      <c r="E54" s="17" t="s">
        <v>393</v>
      </c>
      <c r="F54" s="19" t="s">
        <v>446</v>
      </c>
      <c r="G54" s="17" t="s">
        <v>412</v>
      </c>
      <c r="H54" s="41" t="s">
        <v>419</v>
      </c>
      <c r="I54" s="49" t="s">
        <v>450</v>
      </c>
      <c r="J54" s="19" t="s">
        <v>342</v>
      </c>
      <c r="K54" s="34" t="s">
        <v>379</v>
      </c>
      <c r="L54" s="17" t="s">
        <v>343</v>
      </c>
      <c r="M54" s="30">
        <v>46294</v>
      </c>
      <c r="N54" s="17" t="s">
        <v>429</v>
      </c>
    </row>
    <row r="55" spans="1:14" ht="115.2" x14ac:dyDescent="0.3">
      <c r="A55" s="17" t="s">
        <v>353</v>
      </c>
      <c r="B55" s="17" t="s">
        <v>403</v>
      </c>
      <c r="C55" s="46" t="s">
        <v>394</v>
      </c>
      <c r="D55" s="47" t="s">
        <v>57</v>
      </c>
      <c r="E55" s="17" t="s">
        <v>443</v>
      </c>
      <c r="F55" s="19" t="s">
        <v>449</v>
      </c>
      <c r="G55" s="33" t="s">
        <v>413</v>
      </c>
      <c r="H55" s="40" t="s">
        <v>418</v>
      </c>
      <c r="I55" s="49" t="s">
        <v>450</v>
      </c>
      <c r="J55" s="19" t="s">
        <v>342</v>
      </c>
      <c r="K55" s="34" t="s">
        <v>379</v>
      </c>
      <c r="L55" s="17" t="s">
        <v>343</v>
      </c>
      <c r="M55" s="30">
        <v>46294</v>
      </c>
      <c r="N55" s="19" t="s">
        <v>428</v>
      </c>
    </row>
    <row r="56" spans="1:14" ht="115.2" x14ac:dyDescent="0.3">
      <c r="A56" s="17" t="s">
        <v>352</v>
      </c>
      <c r="B56" s="45" t="s">
        <v>404</v>
      </c>
      <c r="C56" s="44" t="s">
        <v>396</v>
      </c>
      <c r="D56" s="38" t="s">
        <v>57</v>
      </c>
      <c r="E56" s="17" t="s">
        <v>444</v>
      </c>
      <c r="F56" s="19" t="s">
        <v>448</v>
      </c>
      <c r="G56" s="33" t="s">
        <v>415</v>
      </c>
      <c r="H56" s="17" t="s">
        <v>417</v>
      </c>
      <c r="I56" s="49" t="s">
        <v>450</v>
      </c>
      <c r="J56" s="19" t="s">
        <v>342</v>
      </c>
      <c r="K56" s="34" t="s">
        <v>379</v>
      </c>
      <c r="L56" s="17" t="s">
        <v>343</v>
      </c>
      <c r="M56" s="30">
        <v>46294</v>
      </c>
      <c r="N56" s="19" t="s">
        <v>427</v>
      </c>
    </row>
    <row r="57" spans="1:14" ht="115.2" x14ac:dyDescent="0.3">
      <c r="A57" s="17" t="s">
        <v>351</v>
      </c>
      <c r="B57" s="17" t="s">
        <v>405</v>
      </c>
      <c r="C57" s="44" t="s">
        <v>395</v>
      </c>
      <c r="D57" s="38" t="s">
        <v>91</v>
      </c>
      <c r="E57" s="17" t="s">
        <v>445</v>
      </c>
      <c r="F57" s="19" t="s">
        <v>447</v>
      </c>
      <c r="G57" s="33" t="s">
        <v>414</v>
      </c>
      <c r="H57" s="17" t="s">
        <v>416</v>
      </c>
      <c r="I57" s="49" t="s">
        <v>450</v>
      </c>
      <c r="J57" s="19" t="s">
        <v>342</v>
      </c>
      <c r="K57" s="17" t="s">
        <v>379</v>
      </c>
      <c r="L57" s="17" t="s">
        <v>343</v>
      </c>
      <c r="M57" s="30">
        <v>46294</v>
      </c>
      <c r="N57" s="33" t="s">
        <v>426</v>
      </c>
    </row>
    <row r="58" spans="1:14" ht="100.8" x14ac:dyDescent="0.3">
      <c r="A58" s="17" t="s">
        <v>350</v>
      </c>
      <c r="B58" s="45" t="s">
        <v>455</v>
      </c>
      <c r="C58" s="17" t="s">
        <v>462</v>
      </c>
      <c r="D58" s="38" t="s">
        <v>57</v>
      </c>
      <c r="E58" s="52" t="s">
        <v>325</v>
      </c>
      <c r="F58" s="19" t="s">
        <v>464</v>
      </c>
      <c r="G58" s="33" t="s">
        <v>457</v>
      </c>
      <c r="H58" s="17" t="s">
        <v>458</v>
      </c>
      <c r="I58" s="49" t="s">
        <v>454</v>
      </c>
      <c r="J58" s="19" t="s">
        <v>342</v>
      </c>
      <c r="K58" s="34" t="s">
        <v>379</v>
      </c>
      <c r="L58" s="17" t="s">
        <v>343</v>
      </c>
      <c r="M58" s="30">
        <v>46294</v>
      </c>
      <c r="N58" s="19" t="s">
        <v>465</v>
      </c>
    </row>
    <row r="59" spans="1:14" ht="100.8" x14ac:dyDescent="0.3">
      <c r="A59" s="17" t="s">
        <v>349</v>
      </c>
      <c r="B59" s="17" t="s">
        <v>459</v>
      </c>
      <c r="C59" s="17" t="s">
        <v>461</v>
      </c>
      <c r="D59" s="38" t="s">
        <v>91</v>
      </c>
      <c r="E59" s="52" t="s">
        <v>325</v>
      </c>
      <c r="F59" s="19" t="s">
        <v>463</v>
      </c>
      <c r="G59" s="33" t="s">
        <v>473</v>
      </c>
      <c r="H59" s="19" t="s">
        <v>460</v>
      </c>
      <c r="I59" s="49" t="s">
        <v>454</v>
      </c>
      <c r="J59" s="19" t="s">
        <v>342</v>
      </c>
      <c r="K59" s="34" t="s">
        <v>379</v>
      </c>
      <c r="L59" s="17" t="s">
        <v>343</v>
      </c>
      <c r="M59" s="30">
        <v>46294</v>
      </c>
      <c r="N59" s="19" t="s">
        <v>475</v>
      </c>
    </row>
    <row r="60" spans="1:14" ht="100.8" x14ac:dyDescent="0.3">
      <c r="A60" s="17" t="s">
        <v>348</v>
      </c>
      <c r="B60" s="45" t="s">
        <v>466</v>
      </c>
      <c r="C60" s="19" t="s">
        <v>235</v>
      </c>
      <c r="D60" s="38" t="s">
        <v>57</v>
      </c>
      <c r="E60" s="52" t="s">
        <v>468</v>
      </c>
      <c r="F60" s="19" t="s">
        <v>470</v>
      </c>
      <c r="G60" s="33" t="s">
        <v>471</v>
      </c>
      <c r="H60" s="19" t="s">
        <v>472</v>
      </c>
      <c r="I60" s="49" t="s">
        <v>454</v>
      </c>
      <c r="J60" s="19" t="s">
        <v>342</v>
      </c>
      <c r="K60" s="17" t="s">
        <v>379</v>
      </c>
      <c r="L60" s="17" t="s">
        <v>343</v>
      </c>
      <c r="M60" s="30">
        <v>46294</v>
      </c>
      <c r="N60" s="19" t="s">
        <v>474</v>
      </c>
    </row>
    <row r="61" spans="1:14" ht="100.8" x14ac:dyDescent="0.3">
      <c r="A61" s="17" t="s">
        <v>347</v>
      </c>
      <c r="B61" s="17" t="s">
        <v>467</v>
      </c>
      <c r="C61" s="17" t="s">
        <v>461</v>
      </c>
      <c r="D61" s="38" t="s">
        <v>91</v>
      </c>
      <c r="E61" s="52" t="s">
        <v>469</v>
      </c>
      <c r="F61" s="19" t="s">
        <v>456</v>
      </c>
      <c r="G61" s="19" t="s">
        <v>473</v>
      </c>
      <c r="H61" s="19" t="s">
        <v>460</v>
      </c>
      <c r="I61" s="49" t="s">
        <v>454</v>
      </c>
      <c r="J61" s="19" t="s">
        <v>342</v>
      </c>
      <c r="K61" s="17" t="s">
        <v>379</v>
      </c>
      <c r="L61" s="17" t="s">
        <v>343</v>
      </c>
      <c r="M61" s="30">
        <v>46294</v>
      </c>
      <c r="N61" s="19" t="s">
        <v>476</v>
      </c>
    </row>
    <row r="62" spans="1:14" x14ac:dyDescent="0.3">
      <c r="J62" t="s">
        <v>342</v>
      </c>
    </row>
    <row r="63" spans="1:14" x14ac:dyDescent="0.3">
      <c r="J63" t="s">
        <v>342</v>
      </c>
    </row>
  </sheetData>
  <autoFilter ref="A1:N44"/>
  <dataValidations count="2">
    <dataValidation type="list" sqref="D2:D75">
      <formula1>"P0,P1,P2,P3,P4"</formula1>
      <formula2>0</formula2>
    </dataValidation>
    <dataValidation type="list" sqref="C2:C52 C54 C58:C75">
      <formula1>"UI / Pixel,Functional,Hard-coded data,Edge case,Accessibility / Markup"</formula1>
      <formula2>0</formula2>
    </dataValidation>
  </dataValidations>
  <hyperlinks>
    <hyperlink ref="I8" r:id="rId1" display="https://drive.google.com/file/d/1A9LHDP6bKviylX5SeR2EaQhED7VKpSGR/view?usp=drive_link ,  "/>
  </hyperlinks>
  <pageMargins left="0.75" right="0.75" top="1" bottom="1" header="0.511811023622047" footer="0.511811023622047"/>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zoomScaleNormal="100" workbookViewId="0"/>
  </sheetViews>
  <sheetFormatPr defaultColWidth="8.6640625" defaultRowHeight="14.4" x14ac:dyDescent="0.3"/>
  <cols>
    <col min="1" max="1" width="26" customWidth="1"/>
    <col min="2" max="2" width="10" customWidth="1"/>
  </cols>
  <sheetData>
    <row r="1" spans="1:2" x14ac:dyDescent="0.3">
      <c r="A1" s="5" t="s">
        <v>310</v>
      </c>
    </row>
    <row r="2" spans="1:2" x14ac:dyDescent="0.3">
      <c r="A2" s="6" t="s">
        <v>3</v>
      </c>
      <c r="B2" s="6" t="s">
        <v>311</v>
      </c>
    </row>
    <row r="3" spans="1:2" x14ac:dyDescent="0.3">
      <c r="A3" s="7" t="s">
        <v>312</v>
      </c>
      <c r="B3" s="7">
        <f>COUNTIF('Bug Tracker'!$D$2:$D$44,A3)</f>
        <v>0</v>
      </c>
    </row>
    <row r="4" spans="1:2" x14ac:dyDescent="0.3">
      <c r="A4" s="7" t="s">
        <v>313</v>
      </c>
      <c r="B4" s="7">
        <f>COUNTIF('Bug Tracker'!$D$2:$D$44,A4)</f>
        <v>0</v>
      </c>
    </row>
    <row r="5" spans="1:2" x14ac:dyDescent="0.3">
      <c r="A5" s="7" t="s">
        <v>17</v>
      </c>
      <c r="B5" s="7">
        <f>COUNTIF('Bug Tracker'!$D$2:$D$44,A5)</f>
        <v>6</v>
      </c>
    </row>
    <row r="6" spans="1:2" x14ac:dyDescent="0.3">
      <c r="A6" s="7" t="s">
        <v>57</v>
      </c>
      <c r="B6" s="7">
        <f>COUNTIF('Bug Tracker'!$D$2:$D$44,A6)</f>
        <v>14</v>
      </c>
    </row>
    <row r="7" spans="1:2" x14ac:dyDescent="0.3">
      <c r="A7" s="7" t="s">
        <v>91</v>
      </c>
      <c r="B7" s="7">
        <f>COUNTIF('Bug Tracker'!$D$2:$D$44,A7)</f>
        <v>22</v>
      </c>
    </row>
    <row r="8" spans="1:2" x14ac:dyDescent="0.3">
      <c r="A8" s="6" t="s">
        <v>314</v>
      </c>
      <c r="B8" s="6">
        <f>SUM(B3:B7)</f>
        <v>42</v>
      </c>
    </row>
    <row r="10" spans="1:2" x14ac:dyDescent="0.3">
      <c r="A10" s="5" t="s">
        <v>315</v>
      </c>
    </row>
    <row r="11" spans="1:2" x14ac:dyDescent="0.3">
      <c r="A11" s="6" t="s">
        <v>2</v>
      </c>
      <c r="B11" s="6" t="s">
        <v>311</v>
      </c>
    </row>
    <row r="12" spans="1:2" x14ac:dyDescent="0.3">
      <c r="A12" s="7" t="s">
        <v>16</v>
      </c>
      <c r="B12" s="7">
        <f>COUNTIF('Bug Tracker'!$C$2:$C$44,A12)</f>
        <v>14</v>
      </c>
    </row>
    <row r="13" spans="1:2" x14ac:dyDescent="0.3">
      <c r="A13" s="7" t="s">
        <v>42</v>
      </c>
      <c r="B13" s="7">
        <f>COUNTIF('Bug Tracker'!$C$2:$C$44,A13)</f>
        <v>11</v>
      </c>
    </row>
    <row r="14" spans="1:2" x14ac:dyDescent="0.3">
      <c r="A14" s="7" t="s">
        <v>27</v>
      </c>
      <c r="B14" s="7">
        <f>COUNTIF('Bug Tracker'!$C$2:$C$44,A14)</f>
        <v>7</v>
      </c>
    </row>
    <row r="15" spans="1:2" x14ac:dyDescent="0.3">
      <c r="A15" s="7" t="s">
        <v>154</v>
      </c>
      <c r="B15" s="7">
        <f>COUNTIF('Bug Tracker'!$C$2:$C$44,A15)</f>
        <v>1</v>
      </c>
    </row>
    <row r="16" spans="1:2" x14ac:dyDescent="0.3">
      <c r="A16" s="7" t="s">
        <v>235</v>
      </c>
      <c r="B16" s="7">
        <f>COUNTIF('Bug Tracker'!$C$2:$C$44,A16)</f>
        <v>10</v>
      </c>
    </row>
    <row r="18" spans="1:1" x14ac:dyDescent="0.3">
      <c r="A18" s="4" t="s">
        <v>316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zoomScaleNormal="100" workbookViewId="0">
      <selection activeCell="B1" sqref="B1"/>
    </sheetView>
  </sheetViews>
  <sheetFormatPr defaultColWidth="8.6640625" defaultRowHeight="14.4" x14ac:dyDescent="0.3"/>
  <cols>
    <col min="1" max="1" width="5" customWidth="1"/>
    <col min="2" max="2" width="14" customWidth="1"/>
    <col min="3" max="3" width="100" customWidth="1"/>
    <col min="4" max="4" width="24" customWidth="1"/>
  </cols>
  <sheetData>
    <row r="1" spans="1:4" x14ac:dyDescent="0.3">
      <c r="A1" s="8" t="s">
        <v>317</v>
      </c>
      <c r="B1" s="8" t="s">
        <v>318</v>
      </c>
      <c r="C1" s="8" t="s">
        <v>319</v>
      </c>
      <c r="D1" s="8" t="s">
        <v>320</v>
      </c>
    </row>
    <row r="2" spans="1:4" ht="22.5" customHeight="1" x14ac:dyDescent="0.3">
      <c r="A2" s="9">
        <v>1</v>
      </c>
      <c r="B2" s="9" t="s">
        <v>321</v>
      </c>
      <c r="C2" s="9" t="s">
        <v>322</v>
      </c>
      <c r="D2" s="10"/>
    </row>
    <row r="3" spans="1:4" x14ac:dyDescent="0.3">
      <c r="A3" s="9">
        <v>2</v>
      </c>
      <c r="B3" s="9" t="s">
        <v>321</v>
      </c>
      <c r="C3" s="9" t="s">
        <v>323</v>
      </c>
      <c r="D3" s="10"/>
    </row>
    <row r="4" spans="1:4" x14ac:dyDescent="0.3">
      <c r="A4" s="9">
        <v>3</v>
      </c>
      <c r="B4" s="9" t="s">
        <v>321</v>
      </c>
      <c r="C4" s="9" t="s">
        <v>324</v>
      </c>
      <c r="D4" s="10"/>
    </row>
    <row r="5" spans="1:4" x14ac:dyDescent="0.3">
      <c r="A5" s="9">
        <v>4</v>
      </c>
      <c r="B5" s="9" t="s">
        <v>325</v>
      </c>
      <c r="C5" s="9" t="s">
        <v>326</v>
      </c>
      <c r="D5" s="10"/>
    </row>
    <row r="6" spans="1:4" x14ac:dyDescent="0.3">
      <c r="A6" s="9">
        <v>5</v>
      </c>
      <c r="B6" s="9" t="s">
        <v>325</v>
      </c>
      <c r="C6" s="9" t="s">
        <v>327</v>
      </c>
      <c r="D6" s="10"/>
    </row>
    <row r="7" spans="1:4" x14ac:dyDescent="0.3">
      <c r="A7" s="9">
        <v>6</v>
      </c>
      <c r="B7" s="9" t="s">
        <v>325</v>
      </c>
      <c r="C7" s="9" t="s">
        <v>328</v>
      </c>
      <c r="D7" s="10"/>
    </row>
    <row r="8" spans="1:4" x14ac:dyDescent="0.3">
      <c r="A8" s="9">
        <v>7</v>
      </c>
      <c r="B8" s="9" t="s">
        <v>329</v>
      </c>
      <c r="C8" s="9" t="s">
        <v>330</v>
      </c>
      <c r="D8" s="10"/>
    </row>
    <row r="9" spans="1:4" x14ac:dyDescent="0.3">
      <c r="A9" s="9">
        <v>8</v>
      </c>
      <c r="B9" s="9" t="s">
        <v>329</v>
      </c>
      <c r="C9" s="9" t="s">
        <v>331</v>
      </c>
      <c r="D9" s="10"/>
    </row>
    <row r="10" spans="1:4" x14ac:dyDescent="0.3">
      <c r="A10" s="9">
        <v>9</v>
      </c>
      <c r="B10" s="9" t="s">
        <v>329</v>
      </c>
      <c r="C10" s="9" t="s">
        <v>332</v>
      </c>
      <c r="D10" s="10"/>
    </row>
    <row r="11" spans="1:4" ht="22.5" customHeight="1" x14ac:dyDescent="0.3">
      <c r="A11" s="9">
        <v>10</v>
      </c>
      <c r="B11" s="9" t="s">
        <v>329</v>
      </c>
      <c r="C11" s="9" t="s">
        <v>333</v>
      </c>
      <c r="D11" s="10"/>
    </row>
    <row r="12" spans="1:4" x14ac:dyDescent="0.3">
      <c r="A12" s="9">
        <v>11</v>
      </c>
      <c r="B12" s="9" t="s">
        <v>329</v>
      </c>
      <c r="C12" s="9" t="s">
        <v>334</v>
      </c>
      <c r="D12" s="10"/>
    </row>
    <row r="13" spans="1:4" x14ac:dyDescent="0.3">
      <c r="A13" s="9">
        <v>12</v>
      </c>
      <c r="B13" s="9" t="s">
        <v>335</v>
      </c>
      <c r="C13" s="9" t="s">
        <v>336</v>
      </c>
      <c r="D13" s="10"/>
    </row>
    <row r="14" spans="1:4" x14ac:dyDescent="0.3">
      <c r="A14" s="9">
        <v>13</v>
      </c>
      <c r="B14" s="9" t="s">
        <v>335</v>
      </c>
      <c r="C14" s="9" t="s">
        <v>337</v>
      </c>
      <c r="D14" s="10"/>
    </row>
    <row r="15" spans="1:4" x14ac:dyDescent="0.3">
      <c r="A15" s="9">
        <v>14</v>
      </c>
      <c r="B15" s="9" t="s">
        <v>335</v>
      </c>
      <c r="C15" s="9" t="s">
        <v>338</v>
      </c>
      <c r="D15" s="10"/>
    </row>
    <row r="16" spans="1:4" x14ac:dyDescent="0.3">
      <c r="A16" s="9">
        <v>15</v>
      </c>
      <c r="B16" s="9" t="s">
        <v>335</v>
      </c>
      <c r="C16" s="9" t="s">
        <v>339</v>
      </c>
      <c r="D16" s="10"/>
    </row>
    <row r="17" spans="1:4" x14ac:dyDescent="0.3">
      <c r="A17" s="9">
        <v>16</v>
      </c>
      <c r="B17" s="9" t="s">
        <v>335</v>
      </c>
      <c r="C17" s="9" t="s">
        <v>340</v>
      </c>
      <c r="D17" s="10"/>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Bug Tracker</vt:lpstr>
      <vt:lpstr>Summary</vt:lpstr>
      <vt:lpstr>Verify in browser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my pc</cp:lastModifiedBy>
  <cp:revision>0</cp:revision>
  <dcterms:created xsi:type="dcterms:W3CDTF">2026-09-28T18:35:50Z</dcterms:created>
  <dcterms:modified xsi:type="dcterms:W3CDTF">2026-10-28T17:26:52Z</dcterms:modified>
  <dc:language>en-US</dc:language>
</cp:coreProperties>
</file>